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특성 기획" sheetId="1" r:id="rId4"/>
    <sheet state="visible" name="적 캐릭터 기획" sheetId="2" r:id="rId5"/>
    <sheet state="visible" name="경험치 수치" sheetId="3" r:id="rId6"/>
    <sheet state="visible" name="효과음 목록" sheetId="4" r:id="rId7"/>
  </sheets>
  <definedNames>
    <definedName hidden="1" localSheetId="1" name="_xlnm._FilterDatabase">'적 캐릭터 기획'!$B$23:$N$45</definedName>
  </definedNames>
  <calcPr/>
</workbook>
</file>

<file path=xl/sharedStrings.xml><?xml version="1.0" encoding="utf-8"?>
<sst xmlns="http://schemas.openxmlformats.org/spreadsheetml/2006/main" count="1110" uniqueCount="295">
  <si>
    <t xml:space="preserve"> </t>
  </si>
  <si>
    <t>궁수의 전설은 84개</t>
  </si>
  <si>
    <t>기본 퍽</t>
  </si>
  <si>
    <t>기본 퍽은 배열에서 사라지지 않는다</t>
  </si>
  <si>
    <t>스탯 관련</t>
  </si>
  <si>
    <t>설명</t>
  </si>
  <si>
    <t>티어</t>
  </si>
  <si>
    <t>구현 여부</t>
  </si>
  <si>
    <t>개수</t>
  </si>
  <si>
    <t>DamageUpPerk</t>
  </si>
  <si>
    <t>공격력 증가</t>
  </si>
  <si>
    <t>B</t>
  </si>
  <si>
    <t>O</t>
  </si>
  <si>
    <t>S</t>
  </si>
  <si>
    <t>HPUpPerk</t>
  </si>
  <si>
    <t>최대 체력 증가</t>
  </si>
  <si>
    <t>A</t>
  </si>
  <si>
    <t>ATKSpeedUpPerk</t>
  </si>
  <si>
    <t>공격 속도 증가</t>
  </si>
  <si>
    <t>Strong Heart</t>
  </si>
  <si>
    <t>체력 회복량 증가</t>
  </si>
  <si>
    <t>C</t>
  </si>
  <si>
    <t>발사방식 관련</t>
  </si>
  <si>
    <t>완료됨</t>
  </si>
  <si>
    <t>MultiShotPerk</t>
  </si>
  <si>
    <t>한번에 2연속 발사</t>
  </si>
  <si>
    <t>미완료</t>
  </si>
  <si>
    <t>DoubleShotPerk</t>
  </si>
  <si>
    <t>앞쪽 발사 추가</t>
  </si>
  <si>
    <t>SideShotPerk</t>
  </si>
  <si>
    <t>좌우 2발 추가</t>
  </si>
  <si>
    <t>BackShotPerk</t>
  </si>
  <si>
    <t>뒤로 발사 추가</t>
  </si>
  <si>
    <t>DiagonalShotPerk</t>
  </si>
  <si>
    <t>사선 2발 추가</t>
  </si>
  <si>
    <t>적 반사 추가</t>
  </si>
  <si>
    <t>특수 퍽</t>
  </si>
  <si>
    <t>한번 획득하면 배열에서 사라진다</t>
  </si>
  <si>
    <t>깃털 관련</t>
  </si>
  <si>
    <t>PiercingShotPerk</t>
  </si>
  <si>
    <t>적 관통</t>
  </si>
  <si>
    <t>BounceShotPerk</t>
  </si>
  <si>
    <t>발사체가 벽에 튕긴다</t>
  </si>
  <si>
    <t>ChainShotPerk</t>
  </si>
  <si>
    <t>발사체가 적에게 튕긴다 (최대 3회, 
튕길 때 마다 데미지 20% 감소 )</t>
  </si>
  <si>
    <t>이동 관련</t>
  </si>
  <si>
    <t>Fast Move</t>
  </si>
  <si>
    <t>이동 속도 증가</t>
  </si>
  <si>
    <t>High Jump</t>
  </si>
  <si>
    <t>점프 높이 증가</t>
  </si>
  <si>
    <t>X</t>
  </si>
  <si>
    <t>Fly</t>
  </si>
  <si>
    <t>점프 횟수 1회 증가</t>
  </si>
  <si>
    <t>속성 관련</t>
  </si>
  <si>
    <t>EnchantFirePerk</t>
  </si>
  <si>
    <t>발사체가 맞은 대상에게 화상 효과 부여</t>
  </si>
  <si>
    <t>EnchantPoisonPerk</t>
  </si>
  <si>
    <t>발사체가 맞은 대상에게 중독 효과 부여</t>
  </si>
  <si>
    <t>EnchantFreezePerk</t>
  </si>
  <si>
    <t>발사체가 맞은 대상에게 동상 효과 부여</t>
  </si>
  <si>
    <t>EnchantLightningPerk</t>
  </si>
  <si>
    <t>발사체가 맞은 대상에게 감전 효과 부여</t>
  </si>
  <si>
    <t>Head Shot</t>
  </si>
  <si>
    <t>발사체가 맞은 대상이 낮은 확률로 즉사(보스 제외)</t>
  </si>
  <si>
    <t>사망 관련</t>
  </si>
  <si>
    <t>Death Boom</t>
  </si>
  <si>
    <t>죽은 대상이 폭발</t>
  </si>
  <si>
    <t>Fire Boom</t>
  </si>
  <si>
    <t>죽은 대상이 폭발하며 화상효과 부여</t>
  </si>
  <si>
    <t>Poison Boom</t>
  </si>
  <si>
    <t>죽은 대상이 폭발하며 중독효과 부여</t>
  </si>
  <si>
    <t>Ice Boom</t>
  </si>
  <si>
    <t>죽은 대상이 폭발하며 동상효과 부여</t>
  </si>
  <si>
    <t>기타</t>
  </si>
  <si>
    <t>LifeSteal</t>
  </si>
  <si>
    <t>적 죽일때 마다 체력 회복</t>
  </si>
  <si>
    <t>Berserker</t>
  </si>
  <si>
    <t>최대 체력이 낮을 수록 공격력 증가</t>
  </si>
  <si>
    <t>Fast Learn</t>
  </si>
  <si>
    <t>경험치 획득량 증가</t>
  </si>
  <si>
    <t>Extra Life</t>
  </si>
  <si>
    <t>사망 시 1회 부활</t>
  </si>
  <si>
    <t>Dead Eye</t>
  </si>
  <si>
    <t>투사체가 느려짐</t>
  </si>
  <si>
    <t>Fade</t>
  </si>
  <si>
    <t>일정 시간마다 잠깐 무적 상태가 됨</t>
  </si>
  <si>
    <t>추가할 퍽</t>
  </si>
  <si>
    <t>스탯 증가 관련</t>
  </si>
  <si>
    <t>CriticalUp</t>
  </si>
  <si>
    <t>크리티컬 확률, 데미지 증가</t>
  </si>
  <si>
    <t>AvoidUp</t>
  </si>
  <si>
    <t>회피율 증가</t>
  </si>
  <si>
    <t>MoreMoney</t>
  </si>
  <si>
    <t>돈 획득량 증가</t>
  </si>
  <si>
    <t>Small Dmg Up</t>
  </si>
  <si>
    <t>천사에서 나올 용도의 퍽들 절반의 효과</t>
  </si>
  <si>
    <t>Small HP Up</t>
  </si>
  <si>
    <t>Small Crit Up</t>
  </si>
  <si>
    <t>방어력 증가</t>
  </si>
  <si>
    <t>가만히 있을 때 방어력 증가</t>
  </si>
  <si>
    <t>보조딜 관련 퍽</t>
  </si>
  <si>
    <t>Hair Shot</t>
  </si>
  <si>
    <t>머리에서 보조 공격 발사(각 속성)(지속 유도,느린 속도, 관통불가)</t>
  </si>
  <si>
    <t>Beak Breath</t>
  </si>
  <si>
    <t>입에서 1자로 나가는 빔 발사(가로로 발사, 관통, 좌우 방향 변경 가능)</t>
  </si>
  <si>
    <t>Technology</t>
  </si>
  <si>
    <t>눈에서 레이져 - 피?(관통, 빠른공격, 약한 데미지)아이작?</t>
  </si>
  <si>
    <t>회전하는 공?</t>
  </si>
  <si>
    <t>궁수의 전설에 나오는 그거 플레이어 주위를 돌면서 닿는 적에게 속성데미지</t>
  </si>
  <si>
    <t>방어막? 구온석?</t>
  </si>
  <si>
    <t>방 클리어 시 회복</t>
  </si>
  <si>
    <t>깃털에 무언가 더할것?</t>
  </si>
  <si>
    <t>Feather Split</t>
  </si>
  <si>
    <t>깃털이 충돌할 때 마다 안쪽 대각선으로 2개 분열하는 효과, 분열한 깃털에도 효과 적용</t>
  </si>
  <si>
    <t>부메랑 샷</t>
  </si>
  <si>
    <t>깃털이 관통하고 벽에 닿은 뒤, 돌아옴</t>
  </si>
  <si>
    <t>투사체 속도 증가</t>
  </si>
  <si>
    <t>투사체 폭파 효과 추가</t>
  </si>
  <si>
    <t>유도탄</t>
  </si>
  <si>
    <t>깃털에 유도 기능 추가</t>
  </si>
  <si>
    <t>체력이 적으면 공속 증가</t>
  </si>
  <si>
    <t>체력이 적으면 크리 증가</t>
  </si>
  <si>
    <t>가까운 적에게 추가 데미지</t>
  </si>
  <si>
    <t>먼 적에게 추가 데미지</t>
  </si>
  <si>
    <t>플레이어 크기 증가, 데미지 체력 증가</t>
  </si>
  <si>
    <t>플레이어 크기 감소, 회피율, 크리율 증가</t>
  </si>
  <si>
    <t xml:space="preserve">피해를 받을 시 </t>
  </si>
  <si>
    <t>공격한 적에게 깃털 발사</t>
  </si>
  <si>
    <t>점프 횟수 추가</t>
  </si>
  <si>
    <t>비행</t>
  </si>
  <si>
    <t>천천히 떨어지기</t>
  </si>
  <si>
    <t>점프력 조절하기</t>
  </si>
  <si>
    <t>적 캐릭터 기획</t>
  </si>
  <si>
    <t>산등성이둥지</t>
  </si>
  <si>
    <t>속성 로테이션</t>
  </si>
  <si>
    <t>화산동굴</t>
  </si>
  <si>
    <t>바위</t>
  </si>
  <si>
    <t>크기(Player 기준)</t>
  </si>
  <si>
    <t>스테이지 마다 기준 스탯 표</t>
  </si>
  <si>
    <t>얼음산맥</t>
  </si>
  <si>
    <t>화산</t>
  </si>
  <si>
    <t>Small</t>
  </si>
  <si>
    <t>Normal</t>
  </si>
  <si>
    <t>Big</t>
  </si>
  <si>
    <t>Boss</t>
  </si>
  <si>
    <t>룸 진행시에 가중치 부여</t>
  </si>
  <si>
    <t>독의 숲</t>
  </si>
  <si>
    <t>빙하</t>
  </si>
  <si>
    <t>이동방식</t>
  </si>
  <si>
    <t>크기에 따라 체력 가중치 부여</t>
  </si>
  <si>
    <t>폭탄 공장</t>
  </si>
  <si>
    <t>독숲</t>
  </si>
  <si>
    <t>Ground</t>
  </si>
  <si>
    <t>Air</t>
  </si>
  <si>
    <t>챔피언 몹 가중치 부여</t>
  </si>
  <si>
    <t>부화장, 복제장</t>
  </si>
  <si>
    <t>기계</t>
  </si>
  <si>
    <t>사망 효과</t>
  </si>
  <si>
    <t>마법의 성</t>
  </si>
  <si>
    <t>None</t>
  </si>
  <si>
    <t>Split</t>
  </si>
  <si>
    <t>Explode</t>
  </si>
  <si>
    <t>새로운 5자리 11011 분류코드 적용</t>
  </si>
  <si>
    <t>사정거리</t>
  </si>
  <si>
    <t>몬스터 종류/지상, 공중/2자리 번호/변이특성 번호</t>
  </si>
  <si>
    <t>Melee</t>
  </si>
  <si>
    <t>Range</t>
  </si>
  <si>
    <t>공격 방식</t>
  </si>
  <si>
    <t>Projectile</t>
  </si>
  <si>
    <t>Charge</t>
  </si>
  <si>
    <t>Trap</t>
  </si>
  <si>
    <t>Jump</t>
  </si>
  <si>
    <t>투사체 갯수</t>
  </si>
  <si>
    <t>Single</t>
  </si>
  <si>
    <t>Multiple</t>
  </si>
  <si>
    <t>Shotgun</t>
  </si>
  <si>
    <t>Massive</t>
  </si>
  <si>
    <t>투사체 발사 방식</t>
  </si>
  <si>
    <t>Straight</t>
  </si>
  <si>
    <t>Up</t>
  </si>
  <si>
    <t>Homing</t>
  </si>
  <si>
    <t>Moving</t>
  </si>
  <si>
    <t>Curve</t>
  </si>
  <si>
    <t>투사체 속도</t>
  </si>
  <si>
    <t>Slow</t>
  </si>
  <si>
    <t>Fast</t>
  </si>
  <si>
    <t>Hitscan</t>
  </si>
  <si>
    <t>투사체 효과</t>
  </si>
  <si>
    <t>Burn</t>
  </si>
  <si>
    <t>Poison</t>
  </si>
  <si>
    <t>Frozen</t>
  </si>
  <si>
    <t>Summon</t>
  </si>
  <si>
    <t>번호</t>
  </si>
  <si>
    <t>캐릭터 명</t>
  </si>
  <si>
    <t>크기</t>
  </si>
  <si>
    <t>이동 방식</t>
  </si>
  <si>
    <t>사정 거리</t>
  </si>
  <si>
    <t>공격방식</t>
  </si>
  <si>
    <t>투사체 발사방식</t>
  </si>
  <si>
    <t>속도</t>
  </si>
  <si>
    <t>난이도 수치</t>
  </si>
  <si>
    <t>작업 현황</t>
  </si>
  <si>
    <t>비고</t>
  </si>
  <si>
    <t>BossGroundMelee_A</t>
  </si>
  <si>
    <t>작업 완료</t>
  </si>
  <si>
    <t>BossGroundShooter_A</t>
  </si>
  <si>
    <t>BossFlyMelee_A</t>
  </si>
  <si>
    <t>BossFlyShooter_A</t>
  </si>
  <si>
    <t>GroundMelee_A</t>
  </si>
  <si>
    <t>GroundMelee_B</t>
  </si>
  <si>
    <t>GroundShooter_A</t>
  </si>
  <si>
    <t>GroundShooter_B</t>
  </si>
  <si>
    <t>BigCurve_A</t>
  </si>
  <si>
    <t>BigCurve_B</t>
  </si>
  <si>
    <t>GroundLaser_A</t>
  </si>
  <si>
    <t>GroundLaser_B</t>
  </si>
  <si>
    <t>GroundCharger_A</t>
  </si>
  <si>
    <t>GroundCharger_B</t>
  </si>
  <si>
    <t>GroundJumper_A</t>
  </si>
  <si>
    <t>GroundJumper_B</t>
  </si>
  <si>
    <t>FlyMelee_A</t>
  </si>
  <si>
    <t>FlyMelee_B</t>
  </si>
  <si>
    <t>FlyShooter_A</t>
  </si>
  <si>
    <t>FlyShooter_B</t>
  </si>
  <si>
    <t>3방향 발사</t>
  </si>
  <si>
    <t>FlyShooter_C</t>
  </si>
  <si>
    <t>8방향 발사</t>
  </si>
  <si>
    <t>Box</t>
  </si>
  <si>
    <t>상자, 사망시 하트, 골드</t>
  </si>
  <si>
    <t>GroundUpper_A</t>
  </si>
  <si>
    <t>작업 안됨</t>
  </si>
  <si>
    <t>GroundCharge_A</t>
  </si>
  <si>
    <t>GroundJump_A</t>
  </si>
  <si>
    <t>GroundSniper_A</t>
  </si>
  <si>
    <t>BigHoming_A</t>
  </si>
  <si>
    <t>FlySplitter_A</t>
  </si>
  <si>
    <t>FlyMultiShot_A</t>
  </si>
  <si>
    <t>FlyMassiveShot_A</t>
  </si>
  <si>
    <t>AI random results</t>
  </si>
  <si>
    <t>Poisonous Puncher</t>
  </si>
  <si>
    <t>Summoning Sky Jumper</t>
  </si>
  <si>
    <t>Frozen Fury</t>
  </si>
  <si>
    <t>Explosive Entangler</t>
  </si>
  <si>
    <t>Icebreaker</t>
  </si>
  <si>
    <t>Poison Fang</t>
  </si>
  <si>
    <t>Frostbite</t>
  </si>
  <si>
    <t>Flame Juggler</t>
  </si>
  <si>
    <t>Thunderstorm</t>
  </si>
  <si>
    <t>Blaze Drake</t>
  </si>
  <si>
    <t>Frost Nova</t>
  </si>
  <si>
    <t>Toxic Shuriken</t>
  </si>
  <si>
    <t>Shadow Stalker</t>
  </si>
  <si>
    <t>Sonic Boom</t>
  </si>
  <si>
    <t>Volcanic Eruption</t>
  </si>
  <si>
    <t>Electric Wave</t>
  </si>
  <si>
    <t>Raging Inferno</t>
  </si>
  <si>
    <t>Blaze</t>
  </si>
  <si>
    <t>Thunder</t>
  </si>
  <si>
    <t>Frost</t>
  </si>
  <si>
    <t>Storm</t>
  </si>
  <si>
    <t>Spike</t>
  </si>
  <si>
    <t>Shadow</t>
  </si>
  <si>
    <t>Vortex</t>
  </si>
  <si>
    <t>Flame</t>
  </si>
  <si>
    <t>Blast</t>
  </si>
  <si>
    <t>Tidal</t>
  </si>
  <si>
    <t>Frost Bolt</t>
  </si>
  <si>
    <t>Giant Spider</t>
  </si>
  <si>
    <t>BlazeShot</t>
  </si>
  <si>
    <t>Shadow Blade</t>
  </si>
  <si>
    <t>Thunder Strike</t>
  </si>
  <si>
    <t>Bubble Trouble</t>
  </si>
  <si>
    <t>Meteor Shower</t>
  </si>
  <si>
    <t>Venomous Fang</t>
  </si>
  <si>
    <t>Storm Arrow</t>
  </si>
  <si>
    <t>Ice Spike</t>
  </si>
  <si>
    <t>Level</t>
  </si>
  <si>
    <t>Need Exp to level up</t>
  </si>
  <si>
    <t>캐릭터 관련</t>
  </si>
  <si>
    <t>UI</t>
  </si>
  <si>
    <t>스테이지</t>
  </si>
  <si>
    <t>BGM</t>
  </si>
  <si>
    <t>이동</t>
  </si>
  <si>
    <t>클릭</t>
  </si>
  <si>
    <t>문 열림</t>
  </si>
  <si>
    <t>기본</t>
  </si>
  <si>
    <t>점프</t>
  </si>
  <si>
    <t>게이지 증가</t>
  </si>
  <si>
    <t>문 닫힘</t>
  </si>
  <si>
    <t>보스전</t>
  </si>
  <si>
    <t>공격</t>
  </si>
  <si>
    <t>돈 획득 효과</t>
  </si>
  <si>
    <t>스테이지 클리어</t>
  </si>
  <si>
    <t>피격</t>
  </si>
  <si>
    <t>사망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</si>
</sst>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DD4B39"/>
      <name val="Inconsolata"/>
    </font>
    <font>
      <b/>
      <color theme="1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>
      <color rgb="FF000000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ont="1">
      <alignment horizontal="left" readingOrder="0"/>
    </xf>
    <xf borderId="1" fillId="5" fontId="5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10.png"/><Relationship Id="rId13" Type="http://schemas.openxmlformats.org/officeDocument/2006/relationships/image" Target="../media/image5.png"/><Relationship Id="rId12" Type="http://schemas.openxmlformats.org/officeDocument/2006/relationships/image" Target="../media/image3.png"/><Relationship Id="rId1" Type="http://schemas.openxmlformats.org/officeDocument/2006/relationships/image" Target="../media/image12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2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2895600</xdr:colOff>
      <xdr:row>4</xdr:row>
      <xdr:rowOff>323850</xdr:rowOff>
    </xdr:from>
    <xdr:ext cx="600075" cy="542925"/>
    <xdr:pic>
      <xdr:nvPicPr>
        <xdr:cNvPr id="0" name="image1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1885950</xdr:colOff>
      <xdr:row>3</xdr:row>
      <xdr:rowOff>114300</xdr:rowOff>
    </xdr:from>
    <xdr:ext cx="600075" cy="54292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1819275</xdr:colOff>
      <xdr:row>5</xdr:row>
      <xdr:rowOff>295275</xdr:rowOff>
    </xdr:from>
    <xdr:ext cx="733425" cy="628650"/>
    <xdr:pic>
      <xdr:nvPicPr>
        <xdr:cNvPr id="0" name="image7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2895600</xdr:colOff>
      <xdr:row>6</xdr:row>
      <xdr:rowOff>276225</xdr:rowOff>
    </xdr:from>
    <xdr:ext cx="733425" cy="67627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1819275</xdr:colOff>
      <xdr:row>10</xdr:row>
      <xdr:rowOff>428625</xdr:rowOff>
    </xdr:from>
    <xdr:ext cx="600075" cy="542925"/>
    <xdr:pic>
      <xdr:nvPicPr>
        <xdr:cNvPr id="0" name="image1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2905125</xdr:colOff>
      <xdr:row>9</xdr:row>
      <xdr:rowOff>104775</xdr:rowOff>
    </xdr:from>
    <xdr:ext cx="723900" cy="647700"/>
    <xdr:pic>
      <xdr:nvPicPr>
        <xdr:cNvPr id="0" name="image13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3048000</xdr:colOff>
      <xdr:row>13</xdr:row>
      <xdr:rowOff>390525</xdr:rowOff>
    </xdr:from>
    <xdr:ext cx="704850" cy="619125"/>
    <xdr:pic>
      <xdr:nvPicPr>
        <xdr:cNvPr id="0" name="image1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2028825</xdr:colOff>
      <xdr:row>12</xdr:row>
      <xdr:rowOff>485775</xdr:rowOff>
    </xdr:from>
    <xdr:ext cx="523875" cy="485775"/>
    <xdr:pic>
      <xdr:nvPicPr>
        <xdr:cNvPr id="0" name="image8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2933700</xdr:colOff>
      <xdr:row>11</xdr:row>
      <xdr:rowOff>495300</xdr:rowOff>
    </xdr:from>
    <xdr:ext cx="523875" cy="447675"/>
    <xdr:pic>
      <xdr:nvPicPr>
        <xdr:cNvPr id="0" name="image2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2352675</xdr:colOff>
      <xdr:row>21</xdr:row>
      <xdr:rowOff>504825</xdr:rowOff>
    </xdr:from>
    <xdr:ext cx="657225" cy="485775"/>
    <xdr:pic>
      <xdr:nvPicPr>
        <xdr:cNvPr id="0" name="image10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2352675</xdr:colOff>
      <xdr:row>19</xdr:row>
      <xdr:rowOff>190500</xdr:rowOff>
    </xdr:from>
    <xdr:ext cx="657225" cy="542925"/>
    <xdr:pic>
      <xdr:nvPicPr>
        <xdr:cNvPr id="0" name="image9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3009900</xdr:colOff>
      <xdr:row>21</xdr:row>
      <xdr:rowOff>19050</xdr:rowOff>
    </xdr:from>
    <xdr:ext cx="657225" cy="485775"/>
    <xdr:pic>
      <xdr:nvPicPr>
        <xdr:cNvPr id="0" name="image3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2628900</xdr:colOff>
      <xdr:row>24</xdr:row>
      <xdr:rowOff>190500</xdr:rowOff>
    </xdr:from>
    <xdr:ext cx="523875" cy="485775"/>
    <xdr:pic>
      <xdr:nvPicPr>
        <xdr:cNvPr id="0" name="image5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48.63"/>
    <col customWidth="1" min="5" max="5" width="10.88"/>
    <col customWidth="1" min="6" max="6" width="9.63"/>
    <col customWidth="1" min="7" max="7" width="9.0"/>
    <col customWidth="1" min="8" max="8" width="7.75"/>
    <col customWidth="1" min="9" max="9" width="15.0"/>
    <col customWidth="1" min="10" max="10" width="14.88"/>
  </cols>
  <sheetData>
    <row r="1">
      <c r="A1" s="1" t="s">
        <v>0</v>
      </c>
      <c r="B1" s="1" t="s">
        <v>1</v>
      </c>
    </row>
    <row r="3">
      <c r="B3" s="1" t="s">
        <v>2</v>
      </c>
      <c r="C3" s="1" t="s">
        <v>3</v>
      </c>
    </row>
    <row r="4">
      <c r="B4" s="1" t="s">
        <v>4</v>
      </c>
      <c r="C4" s="1" t="s">
        <v>5</v>
      </c>
      <c r="D4" s="1" t="s">
        <v>6</v>
      </c>
      <c r="E4" s="1" t="s">
        <v>7</v>
      </c>
      <c r="G4" s="1" t="s">
        <v>6</v>
      </c>
      <c r="H4" s="1" t="s">
        <v>8</v>
      </c>
    </row>
    <row r="5" ht="31.5" customHeight="1">
      <c r="B5" s="2" t="s">
        <v>9</v>
      </c>
      <c r="C5" s="2" t="s">
        <v>10</v>
      </c>
      <c r="D5" s="1" t="s">
        <v>11</v>
      </c>
      <c r="E5" s="1" t="s">
        <v>12</v>
      </c>
      <c r="G5" s="1" t="s">
        <v>13</v>
      </c>
      <c r="H5" s="3">
        <f t="shared" ref="H5:H8" si="1">COUNTIF(D:D,G5)</f>
        <v>5</v>
      </c>
    </row>
    <row r="6" ht="31.5" customHeight="1">
      <c r="B6" s="2" t="s">
        <v>14</v>
      </c>
      <c r="C6" s="2" t="s">
        <v>15</v>
      </c>
      <c r="D6" s="1" t="s">
        <v>11</v>
      </c>
      <c r="E6" s="1" t="s">
        <v>12</v>
      </c>
      <c r="G6" s="1" t="s">
        <v>16</v>
      </c>
      <c r="H6" s="3">
        <f t="shared" si="1"/>
        <v>8</v>
      </c>
    </row>
    <row r="7" ht="31.5" customHeight="1">
      <c r="B7" s="2" t="s">
        <v>17</v>
      </c>
      <c r="C7" s="2" t="s">
        <v>18</v>
      </c>
      <c r="D7" s="1" t="s">
        <v>11</v>
      </c>
      <c r="E7" s="1" t="s">
        <v>12</v>
      </c>
      <c r="G7" s="1" t="s">
        <v>11</v>
      </c>
      <c r="H7" s="3">
        <f t="shared" si="1"/>
        <v>12</v>
      </c>
    </row>
    <row r="8" ht="31.5" customHeight="1">
      <c r="B8" s="1" t="s">
        <v>19</v>
      </c>
      <c r="C8" s="1" t="s">
        <v>20</v>
      </c>
      <c r="D8" s="1" t="s">
        <v>21</v>
      </c>
      <c r="E8" s="1" t="s">
        <v>12</v>
      </c>
      <c r="G8" s="1" t="s">
        <v>21</v>
      </c>
      <c r="H8" s="3">
        <f t="shared" si="1"/>
        <v>5</v>
      </c>
    </row>
    <row r="10">
      <c r="B10" s="1" t="s">
        <v>22</v>
      </c>
      <c r="G10" s="1" t="s">
        <v>23</v>
      </c>
      <c r="H10" s="4">
        <f>COUNTIF(E5:E49,"O")</f>
        <v>30</v>
      </c>
    </row>
    <row r="11" ht="39.0" customHeight="1">
      <c r="B11" s="2" t="s">
        <v>24</v>
      </c>
      <c r="C11" s="2" t="s">
        <v>25</v>
      </c>
      <c r="D11" s="1" t="s">
        <v>13</v>
      </c>
      <c r="E11" s="1" t="s">
        <v>12</v>
      </c>
      <c r="G11" s="1" t="s">
        <v>26</v>
      </c>
      <c r="H11" s="4">
        <f>COUNTIF(E5:E49,"X")</f>
        <v>0</v>
      </c>
    </row>
    <row r="12" ht="39.0" customHeight="1">
      <c r="B12" s="2" t="s">
        <v>27</v>
      </c>
      <c r="C12" s="2" t="s">
        <v>28</v>
      </c>
      <c r="D12" s="1" t="s">
        <v>16</v>
      </c>
      <c r="E12" s="1" t="s">
        <v>12</v>
      </c>
    </row>
    <row r="13" ht="39.0" customHeight="1">
      <c r="B13" s="1" t="s">
        <v>29</v>
      </c>
      <c r="C13" s="1" t="s">
        <v>30</v>
      </c>
      <c r="D13" s="1" t="s">
        <v>11</v>
      </c>
      <c r="E13" s="1" t="s">
        <v>12</v>
      </c>
    </row>
    <row r="14" ht="39.0" customHeight="1">
      <c r="B14" s="1" t="s">
        <v>31</v>
      </c>
      <c r="C14" s="1" t="s">
        <v>32</v>
      </c>
      <c r="D14" s="1" t="s">
        <v>21</v>
      </c>
      <c r="E14" s="1" t="s">
        <v>12</v>
      </c>
    </row>
    <row r="15" ht="39.0" customHeight="1">
      <c r="B15" s="1" t="s">
        <v>33</v>
      </c>
      <c r="C15" s="1" t="s">
        <v>34</v>
      </c>
      <c r="D15" s="1" t="s">
        <v>11</v>
      </c>
      <c r="E15" s="1" t="s">
        <v>12</v>
      </c>
    </row>
    <row r="16" ht="39.0" customHeight="1">
      <c r="B16" s="5"/>
      <c r="C16" s="6" t="s">
        <v>35</v>
      </c>
    </row>
    <row r="19">
      <c r="B19" s="1" t="s">
        <v>36</v>
      </c>
      <c r="C19" s="1" t="s">
        <v>37</v>
      </c>
    </row>
    <row r="20">
      <c r="B20" s="1" t="s">
        <v>38</v>
      </c>
      <c r="D20" s="1" t="s">
        <v>6</v>
      </c>
    </row>
    <row r="21" ht="40.5" customHeight="1">
      <c r="B21" s="1" t="s">
        <v>39</v>
      </c>
      <c r="C21" s="1" t="s">
        <v>40</v>
      </c>
      <c r="D21" s="1" t="s">
        <v>16</v>
      </c>
      <c r="E21" s="1" t="s">
        <v>12</v>
      </c>
    </row>
    <row r="22" ht="40.5" customHeight="1">
      <c r="B22" s="1" t="s">
        <v>41</v>
      </c>
      <c r="C22" s="1" t="s">
        <v>42</v>
      </c>
      <c r="D22" s="1" t="s">
        <v>16</v>
      </c>
      <c r="E22" s="1" t="s">
        <v>12</v>
      </c>
    </row>
    <row r="23" ht="40.5" customHeight="1">
      <c r="B23" s="1" t="s">
        <v>43</v>
      </c>
      <c r="C23" s="1" t="s">
        <v>44</v>
      </c>
      <c r="D23" s="1" t="s">
        <v>13</v>
      </c>
      <c r="E23" s="1" t="s">
        <v>12</v>
      </c>
    </row>
    <row r="25">
      <c r="B25" s="1" t="s">
        <v>45</v>
      </c>
    </row>
    <row r="26" ht="37.5" customHeight="1">
      <c r="B26" s="1" t="s">
        <v>46</v>
      </c>
      <c r="C26" s="1" t="s">
        <v>47</v>
      </c>
      <c r="D26" s="1" t="s">
        <v>11</v>
      </c>
      <c r="E26" s="1" t="s">
        <v>12</v>
      </c>
    </row>
    <row r="27">
      <c r="B27" s="1" t="s">
        <v>48</v>
      </c>
      <c r="C27" s="1" t="s">
        <v>49</v>
      </c>
      <c r="D27" s="1" t="s">
        <v>16</v>
      </c>
      <c r="E27" s="1" t="s">
        <v>12</v>
      </c>
      <c r="F27" s="1" t="s">
        <v>50</v>
      </c>
    </row>
    <row r="28">
      <c r="B28" s="1" t="s">
        <v>51</v>
      </c>
      <c r="C28" s="1" t="s">
        <v>52</v>
      </c>
      <c r="D28" s="1" t="s">
        <v>16</v>
      </c>
      <c r="E28" s="1" t="s">
        <v>12</v>
      </c>
      <c r="F28" s="1" t="s">
        <v>50</v>
      </c>
    </row>
    <row r="30">
      <c r="B30" s="1" t="s">
        <v>53</v>
      </c>
    </row>
    <row r="31">
      <c r="B31" s="1" t="s">
        <v>54</v>
      </c>
      <c r="C31" s="1" t="s">
        <v>55</v>
      </c>
      <c r="D31" s="1" t="s">
        <v>11</v>
      </c>
      <c r="E31" s="1" t="s">
        <v>12</v>
      </c>
    </row>
    <row r="32">
      <c r="B32" s="1" t="s">
        <v>56</v>
      </c>
      <c r="C32" s="1" t="s">
        <v>57</v>
      </c>
      <c r="D32" s="1" t="s">
        <v>11</v>
      </c>
      <c r="E32" s="1" t="s">
        <v>12</v>
      </c>
    </row>
    <row r="33">
      <c r="B33" s="1" t="s">
        <v>58</v>
      </c>
      <c r="C33" s="1" t="s">
        <v>59</v>
      </c>
      <c r="D33" s="1" t="s">
        <v>16</v>
      </c>
      <c r="E33" s="1" t="s">
        <v>12</v>
      </c>
    </row>
    <row r="34">
      <c r="B34" s="1" t="s">
        <v>60</v>
      </c>
      <c r="C34" s="1" t="s">
        <v>61</v>
      </c>
      <c r="D34" s="1" t="s">
        <v>11</v>
      </c>
      <c r="E34" s="1" t="s">
        <v>12</v>
      </c>
    </row>
    <row r="35">
      <c r="B35" s="1" t="s">
        <v>62</v>
      </c>
      <c r="C35" s="1" t="s">
        <v>63</v>
      </c>
      <c r="D35" s="1" t="s">
        <v>11</v>
      </c>
      <c r="E35" s="1" t="s">
        <v>12</v>
      </c>
    </row>
    <row r="37">
      <c r="B37" s="1" t="s">
        <v>64</v>
      </c>
    </row>
    <row r="38">
      <c r="B38" s="1" t="s">
        <v>65</v>
      </c>
      <c r="C38" s="1" t="s">
        <v>66</v>
      </c>
      <c r="D38" s="1" t="s">
        <v>21</v>
      </c>
      <c r="E38" s="1" t="s">
        <v>12</v>
      </c>
    </row>
    <row r="39">
      <c r="B39" s="1" t="s">
        <v>67</v>
      </c>
      <c r="C39" s="1" t="s">
        <v>68</v>
      </c>
      <c r="D39" s="1" t="s">
        <v>21</v>
      </c>
      <c r="E39" s="1" t="s">
        <v>12</v>
      </c>
    </row>
    <row r="40">
      <c r="B40" s="1" t="s">
        <v>69</v>
      </c>
      <c r="C40" s="1" t="s">
        <v>70</v>
      </c>
      <c r="D40" s="1" t="s">
        <v>21</v>
      </c>
      <c r="E40" s="1" t="s">
        <v>12</v>
      </c>
    </row>
    <row r="41">
      <c r="B41" s="1" t="s">
        <v>71</v>
      </c>
      <c r="C41" s="1" t="s">
        <v>72</v>
      </c>
      <c r="D41" s="1" t="s">
        <v>11</v>
      </c>
      <c r="E41" s="1" t="s">
        <v>12</v>
      </c>
    </row>
    <row r="43">
      <c r="B43" s="1" t="s">
        <v>73</v>
      </c>
    </row>
    <row r="44">
      <c r="B44" s="1" t="s">
        <v>74</v>
      </c>
      <c r="C44" s="1" t="s">
        <v>75</v>
      </c>
      <c r="D44" s="1" t="s">
        <v>16</v>
      </c>
      <c r="E44" s="1" t="s">
        <v>12</v>
      </c>
    </row>
    <row r="45">
      <c r="B45" s="1" t="s">
        <v>76</v>
      </c>
      <c r="C45" s="1" t="s">
        <v>77</v>
      </c>
      <c r="D45" s="1" t="s">
        <v>13</v>
      </c>
      <c r="E45" s="1" t="s">
        <v>12</v>
      </c>
    </row>
    <row r="46">
      <c r="B46" s="1" t="s">
        <v>78</v>
      </c>
      <c r="C46" s="1" t="s">
        <v>79</v>
      </c>
      <c r="D46" s="1" t="s">
        <v>11</v>
      </c>
      <c r="E46" s="1" t="s">
        <v>12</v>
      </c>
    </row>
    <row r="47">
      <c r="B47" s="1" t="s">
        <v>80</v>
      </c>
      <c r="C47" s="1" t="s">
        <v>81</v>
      </c>
      <c r="D47" s="1" t="s">
        <v>13</v>
      </c>
      <c r="E47" s="1" t="s">
        <v>12</v>
      </c>
    </row>
    <row r="48">
      <c r="B48" s="1" t="s">
        <v>82</v>
      </c>
      <c r="C48" s="1" t="s">
        <v>83</v>
      </c>
      <c r="D48" s="1" t="s">
        <v>16</v>
      </c>
      <c r="E48" s="1" t="s">
        <v>12</v>
      </c>
    </row>
    <row r="49">
      <c r="B49" s="1" t="s">
        <v>84</v>
      </c>
      <c r="C49" s="1" t="s">
        <v>85</v>
      </c>
      <c r="D49" s="1" t="s">
        <v>13</v>
      </c>
      <c r="E49" s="1" t="s">
        <v>12</v>
      </c>
    </row>
    <row r="52">
      <c r="B52" s="1" t="s">
        <v>86</v>
      </c>
    </row>
    <row r="54">
      <c r="B54" s="1" t="s">
        <v>87</v>
      </c>
    </row>
    <row r="55">
      <c r="B55" s="1" t="s">
        <v>88</v>
      </c>
      <c r="C55" s="1" t="s">
        <v>89</v>
      </c>
    </row>
    <row r="56">
      <c r="B56" s="1" t="s">
        <v>90</v>
      </c>
      <c r="C56" s="1" t="s">
        <v>91</v>
      </c>
    </row>
    <row r="57">
      <c r="B57" s="1" t="s">
        <v>92</v>
      </c>
      <c r="C57" s="1" t="s">
        <v>93</v>
      </c>
    </row>
    <row r="58">
      <c r="B58" s="1" t="s">
        <v>94</v>
      </c>
      <c r="C58" s="1" t="s">
        <v>95</v>
      </c>
    </row>
    <row r="59">
      <c r="B59" s="1" t="s">
        <v>96</v>
      </c>
      <c r="C59" s="1" t="s">
        <v>95</v>
      </c>
    </row>
    <row r="60">
      <c r="B60" s="1" t="s">
        <v>97</v>
      </c>
      <c r="C60" s="1" t="s">
        <v>95</v>
      </c>
    </row>
    <row r="61">
      <c r="B61" s="1" t="s">
        <v>98</v>
      </c>
    </row>
    <row r="62">
      <c r="B62" s="1" t="s">
        <v>99</v>
      </c>
    </row>
    <row r="65">
      <c r="B65" s="1" t="s">
        <v>100</v>
      </c>
    </row>
    <row r="66">
      <c r="B66" s="1" t="s">
        <v>101</v>
      </c>
      <c r="C66" s="1" t="s">
        <v>102</v>
      </c>
    </row>
    <row r="67">
      <c r="B67" s="1" t="s">
        <v>103</v>
      </c>
      <c r="C67" s="1" t="s">
        <v>104</v>
      </c>
    </row>
    <row r="68">
      <c r="B68" s="1" t="s">
        <v>105</v>
      </c>
      <c r="C68" s="1" t="s">
        <v>106</v>
      </c>
    </row>
    <row r="71">
      <c r="B71" s="1" t="s">
        <v>107</v>
      </c>
      <c r="C71" s="1" t="s">
        <v>108</v>
      </c>
    </row>
    <row r="72">
      <c r="B72" s="1" t="s">
        <v>109</v>
      </c>
    </row>
    <row r="74">
      <c r="B74" s="1" t="s">
        <v>110</v>
      </c>
    </row>
    <row r="76">
      <c r="B76" s="1" t="s">
        <v>111</v>
      </c>
    </row>
    <row r="77">
      <c r="B77" s="1" t="s">
        <v>112</v>
      </c>
      <c r="C77" s="1" t="s">
        <v>113</v>
      </c>
    </row>
    <row r="78">
      <c r="B78" s="1" t="s">
        <v>114</v>
      </c>
      <c r="C78" s="1" t="s">
        <v>115</v>
      </c>
    </row>
    <row r="79">
      <c r="B79" s="1" t="s">
        <v>116</v>
      </c>
    </row>
    <row r="80">
      <c r="B80" s="1" t="s">
        <v>117</v>
      </c>
    </row>
    <row r="81">
      <c r="B81" s="1" t="s">
        <v>118</v>
      </c>
      <c r="C81" s="1" t="s">
        <v>119</v>
      </c>
    </row>
    <row r="85">
      <c r="B85" s="1" t="s">
        <v>120</v>
      </c>
    </row>
    <row r="86">
      <c r="B86" s="1" t="s">
        <v>121</v>
      </c>
    </row>
    <row r="88">
      <c r="B88" s="1" t="s">
        <v>122</v>
      </c>
    </row>
    <row r="89">
      <c r="B89" s="1" t="s">
        <v>123</v>
      </c>
    </row>
    <row r="91">
      <c r="B91" s="1" t="s">
        <v>124</v>
      </c>
    </row>
    <row r="92">
      <c r="B92" s="1" t="s">
        <v>125</v>
      </c>
    </row>
    <row r="94">
      <c r="B94" s="1" t="s">
        <v>126</v>
      </c>
      <c r="C94" s="1" t="s">
        <v>127</v>
      </c>
    </row>
    <row r="96">
      <c r="B96" s="1" t="s">
        <v>128</v>
      </c>
    </row>
    <row r="97">
      <c r="B97" s="1" t="s">
        <v>129</v>
      </c>
    </row>
    <row r="98">
      <c r="B98" s="1" t="s">
        <v>130</v>
      </c>
    </row>
    <row r="99">
      <c r="B99" s="1" t="s">
        <v>131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2.5"/>
    <col customWidth="1" min="3" max="3" width="19.13"/>
    <col customWidth="1" min="4" max="4" width="11.5"/>
    <col customWidth="1" min="5" max="6" width="11.88"/>
    <col customWidth="1" min="7" max="7" width="14.0"/>
    <col customWidth="1" min="8" max="8" width="12.75"/>
    <col customWidth="1" min="9" max="9" width="14.0"/>
    <col customWidth="1" min="10" max="10" width="18.0"/>
    <col customWidth="1" min="11" max="12" width="14.0"/>
    <col customWidth="1" min="13" max="13" width="15.63"/>
    <col customWidth="1" min="14" max="14" width="15.0"/>
    <col customWidth="1" min="15" max="15" width="15.63"/>
  </cols>
  <sheetData>
    <row r="1">
      <c r="B1" s="7"/>
      <c r="M1" s="7"/>
    </row>
    <row r="2">
      <c r="A2" s="1" t="s">
        <v>132</v>
      </c>
      <c r="B2" s="7"/>
      <c r="C2" s="1" t="s">
        <v>133</v>
      </c>
      <c r="D2" s="1" t="s">
        <v>134</v>
      </c>
      <c r="M2" s="7"/>
    </row>
    <row r="3">
      <c r="B3" s="7"/>
      <c r="C3" s="1" t="s">
        <v>135</v>
      </c>
      <c r="D3" s="1" t="s">
        <v>136</v>
      </c>
      <c r="G3" s="1" t="s">
        <v>137</v>
      </c>
      <c r="M3" s="7"/>
    </row>
    <row r="4">
      <c r="A4" s="1" t="s">
        <v>138</v>
      </c>
      <c r="B4" s="7"/>
      <c r="C4" s="1" t="s">
        <v>139</v>
      </c>
      <c r="D4" s="1" t="s">
        <v>140</v>
      </c>
      <c r="G4" s="1" t="s">
        <v>141</v>
      </c>
      <c r="H4" s="1" t="s">
        <v>142</v>
      </c>
      <c r="I4" s="1" t="s">
        <v>143</v>
      </c>
      <c r="J4" s="1" t="s">
        <v>144</v>
      </c>
      <c r="M4" s="7"/>
    </row>
    <row r="5">
      <c r="A5" s="1" t="s">
        <v>145</v>
      </c>
      <c r="B5" s="7"/>
      <c r="C5" s="1" t="s">
        <v>146</v>
      </c>
      <c r="D5" s="1" t="s">
        <v>147</v>
      </c>
      <c r="G5" s="1" t="s">
        <v>148</v>
      </c>
      <c r="M5" s="7"/>
    </row>
    <row r="6">
      <c r="A6" s="1" t="s">
        <v>149</v>
      </c>
      <c r="B6" s="7"/>
      <c r="C6" s="1" t="s">
        <v>150</v>
      </c>
      <c r="D6" s="1" t="s">
        <v>151</v>
      </c>
      <c r="G6" s="1" t="s">
        <v>152</v>
      </c>
      <c r="H6" s="1" t="s">
        <v>153</v>
      </c>
      <c r="M6" s="7"/>
    </row>
    <row r="7">
      <c r="A7" s="1" t="s">
        <v>154</v>
      </c>
      <c r="B7" s="7"/>
      <c r="C7" s="1" t="s">
        <v>155</v>
      </c>
      <c r="D7" s="1" t="s">
        <v>156</v>
      </c>
      <c r="G7" s="1" t="s">
        <v>157</v>
      </c>
      <c r="M7" s="7"/>
    </row>
    <row r="8">
      <c r="B8" s="7"/>
      <c r="C8" s="1" t="s">
        <v>158</v>
      </c>
      <c r="G8" s="1" t="s">
        <v>159</v>
      </c>
      <c r="H8" s="1" t="s">
        <v>160</v>
      </c>
      <c r="I8" s="1" t="s">
        <v>161</v>
      </c>
      <c r="M8" s="7"/>
    </row>
    <row r="9">
      <c r="A9" s="1" t="s">
        <v>162</v>
      </c>
      <c r="B9" s="7"/>
      <c r="G9" s="1" t="s">
        <v>163</v>
      </c>
      <c r="M9" s="7"/>
    </row>
    <row r="10">
      <c r="A10" s="1" t="s">
        <v>164</v>
      </c>
      <c r="B10" s="7"/>
      <c r="G10" s="1" t="s">
        <v>165</v>
      </c>
      <c r="H10" s="1" t="s">
        <v>166</v>
      </c>
      <c r="M10" s="7"/>
    </row>
    <row r="11">
      <c r="B11" s="7"/>
      <c r="G11" s="1" t="s">
        <v>167</v>
      </c>
      <c r="M11" s="7"/>
    </row>
    <row r="12">
      <c r="B12" s="7"/>
      <c r="G12" s="1" t="s">
        <v>159</v>
      </c>
      <c r="H12" s="1" t="s">
        <v>168</v>
      </c>
      <c r="I12" s="1" t="s">
        <v>169</v>
      </c>
      <c r="J12" s="1" t="s">
        <v>170</v>
      </c>
      <c r="K12" s="1" t="s">
        <v>171</v>
      </c>
      <c r="M12" s="7"/>
    </row>
    <row r="13">
      <c r="B13" s="7"/>
      <c r="G13" s="1" t="s">
        <v>172</v>
      </c>
      <c r="M13" s="7"/>
    </row>
    <row r="14">
      <c r="B14" s="7"/>
      <c r="G14" s="1" t="s">
        <v>159</v>
      </c>
      <c r="H14" s="1" t="s">
        <v>173</v>
      </c>
      <c r="I14" s="1" t="s">
        <v>174</v>
      </c>
      <c r="J14" s="1" t="s">
        <v>175</v>
      </c>
      <c r="K14" s="1" t="s">
        <v>176</v>
      </c>
      <c r="M14" s="7"/>
    </row>
    <row r="15">
      <c r="B15" s="7"/>
      <c r="G15" s="1" t="s">
        <v>177</v>
      </c>
      <c r="M15" s="7"/>
    </row>
    <row r="16">
      <c r="B16" s="7"/>
      <c r="G16" s="8" t="s">
        <v>159</v>
      </c>
      <c r="H16" s="1" t="s">
        <v>178</v>
      </c>
      <c r="I16" s="1" t="s">
        <v>179</v>
      </c>
      <c r="J16" s="1" t="s">
        <v>180</v>
      </c>
      <c r="K16" s="1" t="s">
        <v>181</v>
      </c>
      <c r="L16" s="1" t="s">
        <v>182</v>
      </c>
      <c r="M16" s="7"/>
    </row>
    <row r="17">
      <c r="B17" s="7"/>
      <c r="G17" s="1" t="s">
        <v>183</v>
      </c>
      <c r="M17" s="7"/>
    </row>
    <row r="18">
      <c r="B18" s="7"/>
      <c r="G18" s="8" t="s">
        <v>159</v>
      </c>
      <c r="H18" s="1" t="s">
        <v>184</v>
      </c>
      <c r="I18" s="1" t="s">
        <v>142</v>
      </c>
      <c r="J18" s="1" t="s">
        <v>185</v>
      </c>
      <c r="K18" s="1" t="s">
        <v>186</v>
      </c>
      <c r="M18" s="7"/>
    </row>
    <row r="19">
      <c r="B19" s="7"/>
      <c r="G19" s="1" t="s">
        <v>187</v>
      </c>
      <c r="M19" s="7"/>
    </row>
    <row r="20">
      <c r="B20" s="7"/>
      <c r="G20" s="8" t="s">
        <v>159</v>
      </c>
      <c r="H20" s="1" t="s">
        <v>188</v>
      </c>
      <c r="I20" s="1" t="s">
        <v>189</v>
      </c>
      <c r="J20" s="1" t="s">
        <v>190</v>
      </c>
      <c r="K20" s="1" t="s">
        <v>191</v>
      </c>
      <c r="L20" s="1" t="s">
        <v>161</v>
      </c>
      <c r="M20" s="1" t="s">
        <v>160</v>
      </c>
    </row>
    <row r="21">
      <c r="B21" s="7"/>
      <c r="G21" s="1"/>
      <c r="H21" s="1"/>
      <c r="I21" s="1"/>
      <c r="M21" s="7"/>
    </row>
    <row r="22">
      <c r="B22" s="7"/>
      <c r="M22" s="7"/>
    </row>
    <row r="23">
      <c r="B23" s="9" t="s">
        <v>192</v>
      </c>
      <c r="C23" s="9" t="s">
        <v>193</v>
      </c>
      <c r="D23" s="9" t="s">
        <v>194</v>
      </c>
      <c r="E23" s="9" t="s">
        <v>195</v>
      </c>
      <c r="F23" s="9" t="s">
        <v>157</v>
      </c>
      <c r="G23" s="9" t="s">
        <v>196</v>
      </c>
      <c r="H23" s="9" t="s">
        <v>197</v>
      </c>
      <c r="I23" s="9" t="s">
        <v>172</v>
      </c>
      <c r="J23" s="9" t="s">
        <v>198</v>
      </c>
      <c r="K23" s="9" t="s">
        <v>199</v>
      </c>
      <c r="L23" s="9" t="s">
        <v>187</v>
      </c>
      <c r="M23" s="9" t="s">
        <v>200</v>
      </c>
      <c r="N23" s="9" t="s">
        <v>201</v>
      </c>
      <c r="O23" s="9" t="s">
        <v>202</v>
      </c>
    </row>
    <row r="24">
      <c r="B24" s="10">
        <v>11010.0</v>
      </c>
      <c r="C24" s="1" t="s">
        <v>203</v>
      </c>
      <c r="D24" s="1" t="s">
        <v>144</v>
      </c>
      <c r="E24" s="1" t="s">
        <v>152</v>
      </c>
      <c r="F24" s="1" t="s">
        <v>159</v>
      </c>
      <c r="G24" s="1" t="s">
        <v>165</v>
      </c>
      <c r="H24" s="1" t="s">
        <v>169</v>
      </c>
      <c r="I24" s="1" t="s">
        <v>159</v>
      </c>
      <c r="J24" s="1" t="s">
        <v>159</v>
      </c>
      <c r="K24" s="1" t="s">
        <v>159</v>
      </c>
      <c r="L24" s="1" t="s">
        <v>159</v>
      </c>
      <c r="M24" s="10">
        <v>10.0</v>
      </c>
      <c r="N24" s="1" t="s">
        <v>204</v>
      </c>
    </row>
    <row r="25">
      <c r="B25" s="10">
        <v>11020.0</v>
      </c>
      <c r="C25" s="1" t="s">
        <v>205</v>
      </c>
      <c r="D25" s="1" t="s">
        <v>144</v>
      </c>
      <c r="E25" s="1" t="s">
        <v>152</v>
      </c>
      <c r="F25" s="1" t="s">
        <v>159</v>
      </c>
      <c r="G25" s="1" t="s">
        <v>166</v>
      </c>
      <c r="H25" s="1" t="s">
        <v>168</v>
      </c>
      <c r="I25" s="1" t="s">
        <v>173</v>
      </c>
      <c r="J25" s="1" t="s">
        <v>178</v>
      </c>
      <c r="K25" s="1" t="s">
        <v>142</v>
      </c>
      <c r="L25" s="1" t="s">
        <v>159</v>
      </c>
      <c r="M25" s="10"/>
      <c r="N25" s="1" t="s">
        <v>204</v>
      </c>
    </row>
    <row r="26">
      <c r="B26" s="10">
        <v>12010.0</v>
      </c>
      <c r="C26" s="1" t="s">
        <v>206</v>
      </c>
      <c r="D26" s="1" t="s">
        <v>144</v>
      </c>
      <c r="E26" s="1" t="s">
        <v>153</v>
      </c>
      <c r="F26" s="1" t="s">
        <v>160</v>
      </c>
      <c r="G26" s="1" t="s">
        <v>165</v>
      </c>
      <c r="H26" s="1" t="s">
        <v>159</v>
      </c>
      <c r="I26" s="1" t="s">
        <v>159</v>
      </c>
      <c r="J26" s="1" t="s">
        <v>159</v>
      </c>
      <c r="K26" s="1" t="s">
        <v>159</v>
      </c>
      <c r="L26" s="1" t="s">
        <v>159</v>
      </c>
      <c r="M26" s="10">
        <v>10.0</v>
      </c>
      <c r="N26" s="1" t="s">
        <v>204</v>
      </c>
    </row>
    <row r="27">
      <c r="B27" s="10">
        <v>12020.0</v>
      </c>
      <c r="C27" s="1" t="s">
        <v>207</v>
      </c>
      <c r="D27" s="1" t="s">
        <v>144</v>
      </c>
      <c r="E27" s="1" t="s">
        <v>153</v>
      </c>
      <c r="F27" s="1" t="s">
        <v>159</v>
      </c>
      <c r="G27" s="1" t="s">
        <v>166</v>
      </c>
      <c r="H27" s="1" t="s">
        <v>168</v>
      </c>
      <c r="I27" s="1" t="s">
        <v>173</v>
      </c>
      <c r="J27" s="1" t="s">
        <v>178</v>
      </c>
      <c r="K27" s="1" t="s">
        <v>142</v>
      </c>
      <c r="L27" s="1" t="s">
        <v>159</v>
      </c>
      <c r="M27" s="10"/>
      <c r="N27" s="1" t="s">
        <v>204</v>
      </c>
    </row>
    <row r="28">
      <c r="B28" s="10">
        <v>21010.0</v>
      </c>
      <c r="C28" s="1" t="s">
        <v>208</v>
      </c>
      <c r="D28" s="1" t="s">
        <v>142</v>
      </c>
      <c r="E28" s="1" t="s">
        <v>152</v>
      </c>
      <c r="F28" s="1" t="s">
        <v>159</v>
      </c>
      <c r="G28" s="1" t="s">
        <v>165</v>
      </c>
      <c r="H28" s="1" t="s">
        <v>159</v>
      </c>
      <c r="I28" s="1" t="s">
        <v>159</v>
      </c>
      <c r="J28" s="1" t="s">
        <v>159</v>
      </c>
      <c r="K28" s="1" t="s">
        <v>142</v>
      </c>
      <c r="L28" s="1" t="s">
        <v>159</v>
      </c>
      <c r="M28" s="10">
        <v>2.0</v>
      </c>
      <c r="N28" s="1" t="s">
        <v>204</v>
      </c>
    </row>
    <row r="29">
      <c r="B29" s="10">
        <v>21011.0</v>
      </c>
      <c r="C29" s="1" t="s">
        <v>209</v>
      </c>
      <c r="D29" s="1" t="s">
        <v>142</v>
      </c>
      <c r="E29" s="1" t="s">
        <v>152</v>
      </c>
      <c r="F29" s="1" t="s">
        <v>160</v>
      </c>
      <c r="G29" s="1" t="s">
        <v>165</v>
      </c>
      <c r="H29" s="1" t="s">
        <v>159</v>
      </c>
      <c r="I29" s="1" t="s">
        <v>159</v>
      </c>
      <c r="J29" s="1" t="s">
        <v>159</v>
      </c>
      <c r="K29" s="1" t="s">
        <v>142</v>
      </c>
      <c r="L29" s="1" t="s">
        <v>159</v>
      </c>
      <c r="M29" s="10">
        <v>3.0</v>
      </c>
      <c r="N29" s="1" t="s">
        <v>204</v>
      </c>
    </row>
    <row r="30">
      <c r="B30" s="10">
        <v>21020.0</v>
      </c>
      <c r="C30" s="1" t="s">
        <v>210</v>
      </c>
      <c r="D30" s="1" t="s">
        <v>142</v>
      </c>
      <c r="E30" s="1" t="s">
        <v>152</v>
      </c>
      <c r="F30" s="1" t="s">
        <v>159</v>
      </c>
      <c r="G30" s="1" t="s">
        <v>166</v>
      </c>
      <c r="H30" s="1" t="s">
        <v>168</v>
      </c>
      <c r="I30" s="1" t="s">
        <v>173</v>
      </c>
      <c r="J30" s="1" t="s">
        <v>178</v>
      </c>
      <c r="K30" s="1" t="s">
        <v>142</v>
      </c>
      <c r="L30" s="1" t="s">
        <v>159</v>
      </c>
      <c r="M30" s="10">
        <v>3.0</v>
      </c>
      <c r="N30" s="1" t="s">
        <v>204</v>
      </c>
    </row>
    <row r="31">
      <c r="B31" s="10">
        <v>21021.0</v>
      </c>
      <c r="C31" s="1" t="s">
        <v>211</v>
      </c>
      <c r="D31" s="1" t="s">
        <v>142</v>
      </c>
      <c r="E31" s="1" t="s">
        <v>152</v>
      </c>
      <c r="F31" s="1" t="s">
        <v>159</v>
      </c>
      <c r="G31" s="1" t="s">
        <v>166</v>
      </c>
      <c r="H31" s="1" t="s">
        <v>168</v>
      </c>
      <c r="I31" s="1" t="s">
        <v>174</v>
      </c>
      <c r="J31" s="1" t="s">
        <v>178</v>
      </c>
      <c r="K31" s="1" t="s">
        <v>142</v>
      </c>
      <c r="L31" s="1" t="s">
        <v>159</v>
      </c>
      <c r="M31" s="10">
        <v>4.0</v>
      </c>
      <c r="N31" s="1" t="s">
        <v>204</v>
      </c>
    </row>
    <row r="32">
      <c r="B32" s="10">
        <v>21030.0</v>
      </c>
      <c r="C32" s="1" t="s">
        <v>212</v>
      </c>
      <c r="D32" s="1" t="s">
        <v>143</v>
      </c>
      <c r="E32" s="1" t="s">
        <v>152</v>
      </c>
      <c r="F32" s="1" t="s">
        <v>159</v>
      </c>
      <c r="G32" s="1" t="s">
        <v>166</v>
      </c>
      <c r="H32" s="1" t="s">
        <v>168</v>
      </c>
      <c r="I32" s="1" t="s">
        <v>173</v>
      </c>
      <c r="J32" s="1" t="s">
        <v>179</v>
      </c>
      <c r="K32" s="1" t="s">
        <v>142</v>
      </c>
      <c r="L32" s="1" t="s">
        <v>159</v>
      </c>
      <c r="M32" s="10">
        <v>7.0</v>
      </c>
      <c r="N32" s="1" t="s">
        <v>204</v>
      </c>
    </row>
    <row r="33">
      <c r="B33" s="10">
        <v>21031.0</v>
      </c>
      <c r="C33" s="1" t="s">
        <v>213</v>
      </c>
      <c r="D33" s="1" t="s">
        <v>143</v>
      </c>
      <c r="E33" s="1" t="s">
        <v>152</v>
      </c>
      <c r="F33" s="1" t="s">
        <v>159</v>
      </c>
      <c r="G33" s="1" t="s">
        <v>166</v>
      </c>
      <c r="H33" s="1" t="s">
        <v>168</v>
      </c>
      <c r="I33" s="1" t="s">
        <v>173</v>
      </c>
      <c r="J33" s="1" t="s">
        <v>179</v>
      </c>
      <c r="K33" s="1" t="s">
        <v>142</v>
      </c>
      <c r="L33" s="1" t="s">
        <v>161</v>
      </c>
      <c r="M33" s="10">
        <v>8.0</v>
      </c>
      <c r="N33" s="1" t="s">
        <v>204</v>
      </c>
    </row>
    <row r="34">
      <c r="B34" s="10">
        <v>21040.0</v>
      </c>
      <c r="C34" s="1" t="s">
        <v>214</v>
      </c>
      <c r="D34" s="1" t="s">
        <v>142</v>
      </c>
      <c r="E34" s="1" t="s">
        <v>152</v>
      </c>
      <c r="F34" s="1" t="s">
        <v>159</v>
      </c>
      <c r="G34" s="1" t="s">
        <v>166</v>
      </c>
      <c r="H34" s="1" t="s">
        <v>168</v>
      </c>
      <c r="I34" s="1" t="s">
        <v>173</v>
      </c>
      <c r="J34" s="1" t="s">
        <v>178</v>
      </c>
      <c r="K34" s="1" t="s">
        <v>184</v>
      </c>
      <c r="L34" s="1" t="s">
        <v>159</v>
      </c>
      <c r="M34" s="10">
        <v>6.0</v>
      </c>
      <c r="N34" s="1" t="s">
        <v>204</v>
      </c>
    </row>
    <row r="35">
      <c r="B35" s="10">
        <v>21041.0</v>
      </c>
      <c r="C35" s="1" t="s">
        <v>215</v>
      </c>
      <c r="D35" s="1" t="s">
        <v>142</v>
      </c>
      <c r="E35" s="1" t="s">
        <v>152</v>
      </c>
      <c r="F35" s="1" t="s">
        <v>159</v>
      </c>
      <c r="G35" s="1" t="s">
        <v>166</v>
      </c>
      <c r="H35" s="1" t="s">
        <v>168</v>
      </c>
      <c r="I35" s="1" t="s">
        <v>174</v>
      </c>
      <c r="J35" s="1" t="s">
        <v>178</v>
      </c>
      <c r="K35" s="1" t="s">
        <v>184</v>
      </c>
      <c r="L35" s="1" t="s">
        <v>159</v>
      </c>
      <c r="M35" s="10">
        <v>7.0</v>
      </c>
      <c r="N35" s="1" t="s">
        <v>204</v>
      </c>
    </row>
    <row r="36">
      <c r="B36" s="10">
        <v>21050.0</v>
      </c>
      <c r="C36" s="1" t="s">
        <v>216</v>
      </c>
      <c r="D36" s="1" t="s">
        <v>142</v>
      </c>
      <c r="E36" s="1" t="s">
        <v>152</v>
      </c>
      <c r="F36" s="1" t="s">
        <v>159</v>
      </c>
      <c r="G36" s="1" t="s">
        <v>165</v>
      </c>
      <c r="H36" s="1" t="s">
        <v>169</v>
      </c>
      <c r="I36" s="1" t="s">
        <v>159</v>
      </c>
      <c r="J36" s="1" t="s">
        <v>159</v>
      </c>
      <c r="K36" s="1" t="s">
        <v>142</v>
      </c>
      <c r="L36" s="1" t="s">
        <v>159</v>
      </c>
      <c r="M36" s="10">
        <v>4.0</v>
      </c>
      <c r="N36" s="1" t="s">
        <v>204</v>
      </c>
    </row>
    <row r="37">
      <c r="B37" s="10">
        <v>21051.0</v>
      </c>
      <c r="C37" s="1" t="s">
        <v>217</v>
      </c>
      <c r="D37" s="1" t="s">
        <v>142</v>
      </c>
      <c r="E37" s="1" t="s">
        <v>152</v>
      </c>
      <c r="F37" s="1" t="s">
        <v>159</v>
      </c>
      <c r="G37" s="1" t="s">
        <v>165</v>
      </c>
      <c r="H37" s="1" t="s">
        <v>169</v>
      </c>
      <c r="I37" s="1" t="s">
        <v>159</v>
      </c>
      <c r="J37" s="1" t="s">
        <v>159</v>
      </c>
      <c r="K37" s="1" t="s">
        <v>185</v>
      </c>
      <c r="L37" s="1" t="s">
        <v>159</v>
      </c>
      <c r="M37" s="10">
        <v>5.0</v>
      </c>
      <c r="N37" s="1" t="s">
        <v>204</v>
      </c>
    </row>
    <row r="38">
      <c r="B38" s="10">
        <v>21060.0</v>
      </c>
      <c r="C38" s="1" t="s">
        <v>218</v>
      </c>
      <c r="D38" s="1" t="s">
        <v>142</v>
      </c>
      <c r="E38" s="1" t="s">
        <v>152</v>
      </c>
      <c r="F38" s="1" t="s">
        <v>159</v>
      </c>
      <c r="G38" s="1" t="s">
        <v>165</v>
      </c>
      <c r="H38" s="1" t="s">
        <v>171</v>
      </c>
      <c r="I38" s="1" t="s">
        <v>159</v>
      </c>
      <c r="J38" s="1" t="s">
        <v>159</v>
      </c>
      <c r="K38" s="1" t="s">
        <v>142</v>
      </c>
      <c r="L38" s="1" t="s">
        <v>159</v>
      </c>
      <c r="M38" s="10">
        <v>4.0</v>
      </c>
      <c r="N38" s="1" t="s">
        <v>204</v>
      </c>
    </row>
    <row r="39">
      <c r="B39" s="10">
        <v>21061.0</v>
      </c>
      <c r="C39" s="1" t="s">
        <v>219</v>
      </c>
      <c r="D39" s="1" t="s">
        <v>142</v>
      </c>
      <c r="E39" s="1" t="s">
        <v>152</v>
      </c>
      <c r="F39" s="1" t="s">
        <v>159</v>
      </c>
      <c r="G39" s="1" t="s">
        <v>166</v>
      </c>
      <c r="H39" s="1" t="s">
        <v>171</v>
      </c>
      <c r="I39" s="1" t="s">
        <v>173</v>
      </c>
      <c r="J39" s="1" t="s">
        <v>178</v>
      </c>
      <c r="K39" s="1" t="s">
        <v>142</v>
      </c>
      <c r="L39" s="1" t="s">
        <v>159</v>
      </c>
      <c r="M39" s="10">
        <v>5.0</v>
      </c>
      <c r="N39" s="1" t="s">
        <v>204</v>
      </c>
    </row>
    <row r="40">
      <c r="B40" s="10">
        <v>22010.0</v>
      </c>
      <c r="C40" s="1" t="s">
        <v>220</v>
      </c>
      <c r="D40" s="1" t="s">
        <v>142</v>
      </c>
      <c r="E40" s="1" t="s">
        <v>153</v>
      </c>
      <c r="F40" s="1" t="s">
        <v>159</v>
      </c>
      <c r="G40" s="1" t="s">
        <v>165</v>
      </c>
      <c r="H40" s="1" t="s">
        <v>159</v>
      </c>
      <c r="I40" s="1" t="s">
        <v>159</v>
      </c>
      <c r="J40" s="1" t="s">
        <v>159</v>
      </c>
      <c r="K40" s="1" t="s">
        <v>142</v>
      </c>
      <c r="L40" s="1" t="s">
        <v>159</v>
      </c>
      <c r="M40" s="10">
        <v>2.0</v>
      </c>
      <c r="N40" s="1" t="s">
        <v>204</v>
      </c>
    </row>
    <row r="41">
      <c r="B41" s="10">
        <v>22011.0</v>
      </c>
      <c r="C41" s="1" t="s">
        <v>221</v>
      </c>
      <c r="D41" s="1" t="s">
        <v>142</v>
      </c>
      <c r="E41" s="1" t="s">
        <v>153</v>
      </c>
      <c r="F41" s="1" t="s">
        <v>160</v>
      </c>
      <c r="G41" s="1" t="s">
        <v>165</v>
      </c>
      <c r="H41" s="1" t="s">
        <v>159</v>
      </c>
      <c r="I41" s="1" t="s">
        <v>159</v>
      </c>
      <c r="J41" s="1" t="s">
        <v>159</v>
      </c>
      <c r="K41" s="1" t="s">
        <v>142</v>
      </c>
      <c r="L41" s="1" t="s">
        <v>159</v>
      </c>
      <c r="M41" s="10">
        <v>3.0</v>
      </c>
      <c r="N41" s="1" t="s">
        <v>204</v>
      </c>
    </row>
    <row r="42">
      <c r="B42" s="10">
        <v>22020.0</v>
      </c>
      <c r="C42" s="1" t="s">
        <v>222</v>
      </c>
      <c r="D42" s="1" t="s">
        <v>142</v>
      </c>
      <c r="E42" s="1" t="s">
        <v>153</v>
      </c>
      <c r="F42" s="1" t="s">
        <v>159</v>
      </c>
      <c r="G42" s="1" t="s">
        <v>166</v>
      </c>
      <c r="H42" s="1" t="s">
        <v>168</v>
      </c>
      <c r="I42" s="1" t="s">
        <v>173</v>
      </c>
      <c r="J42" s="1" t="s">
        <v>178</v>
      </c>
      <c r="K42" s="1" t="s">
        <v>142</v>
      </c>
      <c r="L42" s="1" t="s">
        <v>159</v>
      </c>
      <c r="M42" s="10">
        <v>3.0</v>
      </c>
      <c r="N42" s="1" t="s">
        <v>204</v>
      </c>
    </row>
    <row r="43">
      <c r="B43" s="10">
        <v>22021.0</v>
      </c>
      <c r="C43" s="1" t="s">
        <v>223</v>
      </c>
      <c r="D43" s="1" t="s">
        <v>142</v>
      </c>
      <c r="E43" s="1" t="s">
        <v>153</v>
      </c>
      <c r="F43" s="1" t="s">
        <v>159</v>
      </c>
      <c r="G43" s="1" t="s">
        <v>166</v>
      </c>
      <c r="H43" s="1" t="s">
        <v>168</v>
      </c>
      <c r="I43" s="1" t="s">
        <v>174</v>
      </c>
      <c r="J43" s="1" t="s">
        <v>178</v>
      </c>
      <c r="K43" s="1" t="s">
        <v>142</v>
      </c>
      <c r="L43" s="1" t="s">
        <v>159</v>
      </c>
      <c r="M43" s="10">
        <v>4.0</v>
      </c>
      <c r="N43" s="1" t="s">
        <v>204</v>
      </c>
      <c r="O43" s="1" t="s">
        <v>224</v>
      </c>
    </row>
    <row r="44">
      <c r="B44" s="10">
        <v>22022.0</v>
      </c>
      <c r="C44" s="1" t="s">
        <v>225</v>
      </c>
      <c r="D44" s="1" t="s">
        <v>142</v>
      </c>
      <c r="E44" s="1" t="s">
        <v>153</v>
      </c>
      <c r="F44" s="1" t="s">
        <v>159</v>
      </c>
      <c r="G44" s="1" t="s">
        <v>166</v>
      </c>
      <c r="H44" s="1" t="s">
        <v>168</v>
      </c>
      <c r="I44" s="1" t="s">
        <v>176</v>
      </c>
      <c r="J44" s="1" t="s">
        <v>178</v>
      </c>
      <c r="K44" s="1" t="s">
        <v>142</v>
      </c>
      <c r="L44" s="1" t="s">
        <v>159</v>
      </c>
      <c r="M44" s="10">
        <v>5.0</v>
      </c>
      <c r="N44" s="1" t="s">
        <v>204</v>
      </c>
      <c r="O44" s="1" t="s">
        <v>226</v>
      </c>
    </row>
    <row r="45">
      <c r="B45" s="10">
        <v>41010.0</v>
      </c>
      <c r="C45" s="1" t="s">
        <v>227</v>
      </c>
      <c r="D45" s="1" t="s">
        <v>142</v>
      </c>
      <c r="E45" s="1" t="s">
        <v>152</v>
      </c>
      <c r="F45" s="1" t="s">
        <v>159</v>
      </c>
      <c r="G45" s="1" t="s">
        <v>165</v>
      </c>
      <c r="H45" s="1" t="s">
        <v>159</v>
      </c>
      <c r="I45" s="1" t="s">
        <v>159</v>
      </c>
      <c r="J45" s="1" t="s">
        <v>159</v>
      </c>
      <c r="K45" s="1" t="s">
        <v>159</v>
      </c>
      <c r="L45" s="1" t="s">
        <v>159</v>
      </c>
      <c r="M45" s="10">
        <v>-2.0</v>
      </c>
      <c r="N45" s="1" t="s">
        <v>204</v>
      </c>
      <c r="O45" s="1" t="s">
        <v>228</v>
      </c>
    </row>
    <row r="55">
      <c r="B55" s="7"/>
      <c r="C55" s="1" t="s">
        <v>229</v>
      </c>
      <c r="D55" s="1" t="s">
        <v>142</v>
      </c>
      <c r="E55" s="1" t="s">
        <v>152</v>
      </c>
      <c r="F55" s="1" t="s">
        <v>159</v>
      </c>
      <c r="G55" s="1" t="s">
        <v>166</v>
      </c>
      <c r="H55" s="1" t="s">
        <v>168</v>
      </c>
      <c r="I55" s="1" t="s">
        <v>174</v>
      </c>
      <c r="J55" s="1" t="s">
        <v>179</v>
      </c>
      <c r="K55" s="1" t="s">
        <v>142</v>
      </c>
      <c r="L55" s="1" t="s">
        <v>159</v>
      </c>
      <c r="M55" s="7"/>
      <c r="N55" s="1" t="s">
        <v>230</v>
      </c>
    </row>
    <row r="56">
      <c r="B56" s="7"/>
      <c r="C56" s="1" t="s">
        <v>231</v>
      </c>
      <c r="D56" s="1" t="s">
        <v>142</v>
      </c>
      <c r="E56" s="1" t="s">
        <v>152</v>
      </c>
      <c r="F56" s="1" t="s">
        <v>159</v>
      </c>
      <c r="G56" s="1" t="s">
        <v>165</v>
      </c>
      <c r="H56" s="1" t="s">
        <v>169</v>
      </c>
      <c r="I56" s="1" t="s">
        <v>159</v>
      </c>
      <c r="J56" s="1" t="s">
        <v>159</v>
      </c>
      <c r="K56" s="1" t="s">
        <v>159</v>
      </c>
      <c r="L56" s="1" t="s">
        <v>159</v>
      </c>
      <c r="M56" s="7"/>
      <c r="N56" s="1" t="s">
        <v>230</v>
      </c>
    </row>
    <row r="57">
      <c r="B57" s="7"/>
      <c r="C57" s="1" t="s">
        <v>232</v>
      </c>
      <c r="D57" s="1" t="s">
        <v>142</v>
      </c>
      <c r="E57" s="1" t="s">
        <v>152</v>
      </c>
      <c r="F57" s="1" t="s">
        <v>159</v>
      </c>
      <c r="G57" s="1" t="s">
        <v>165</v>
      </c>
      <c r="H57" s="1" t="s">
        <v>171</v>
      </c>
      <c r="I57" s="1" t="s">
        <v>159</v>
      </c>
      <c r="J57" s="1" t="s">
        <v>159</v>
      </c>
      <c r="K57" s="1" t="s">
        <v>159</v>
      </c>
      <c r="L57" s="1" t="s">
        <v>159</v>
      </c>
      <c r="M57" s="7"/>
      <c r="N57" s="1" t="s">
        <v>230</v>
      </c>
    </row>
    <row r="58">
      <c r="B58" s="7"/>
      <c r="C58" s="1" t="s">
        <v>233</v>
      </c>
      <c r="D58" s="1" t="s">
        <v>142</v>
      </c>
      <c r="E58" s="1" t="s">
        <v>152</v>
      </c>
      <c r="F58" s="1" t="s">
        <v>159</v>
      </c>
      <c r="G58" s="1" t="s">
        <v>166</v>
      </c>
      <c r="H58" s="1" t="s">
        <v>168</v>
      </c>
      <c r="I58" s="1" t="s">
        <v>173</v>
      </c>
      <c r="J58" s="1" t="s">
        <v>178</v>
      </c>
      <c r="K58" s="1" t="s">
        <v>185</v>
      </c>
      <c r="L58" s="1" t="s">
        <v>159</v>
      </c>
      <c r="M58" s="7"/>
      <c r="N58" s="1" t="s">
        <v>230</v>
      </c>
    </row>
    <row r="59">
      <c r="B59" s="7"/>
      <c r="C59" s="1" t="s">
        <v>234</v>
      </c>
      <c r="D59" s="1" t="s">
        <v>143</v>
      </c>
      <c r="E59" s="1" t="s">
        <v>152</v>
      </c>
      <c r="F59" s="1" t="s">
        <v>159</v>
      </c>
      <c r="G59" s="1" t="s">
        <v>166</v>
      </c>
      <c r="H59" s="1" t="s">
        <v>168</v>
      </c>
      <c r="I59" s="1" t="s">
        <v>173</v>
      </c>
      <c r="J59" s="1" t="s">
        <v>180</v>
      </c>
      <c r="K59" s="1" t="s">
        <v>184</v>
      </c>
      <c r="L59" s="1" t="s">
        <v>161</v>
      </c>
      <c r="M59" s="7"/>
      <c r="N59" s="1" t="s">
        <v>230</v>
      </c>
    </row>
    <row r="60">
      <c r="B60" s="7"/>
      <c r="C60" s="1" t="s">
        <v>235</v>
      </c>
      <c r="D60" s="1" t="s">
        <v>142</v>
      </c>
      <c r="E60" s="1" t="s">
        <v>153</v>
      </c>
      <c r="F60" s="1" t="s">
        <v>160</v>
      </c>
      <c r="G60" s="1" t="s">
        <v>165</v>
      </c>
      <c r="H60" s="1" t="s">
        <v>169</v>
      </c>
      <c r="I60" s="1" t="s">
        <v>159</v>
      </c>
      <c r="J60" s="1" t="s">
        <v>159</v>
      </c>
      <c r="K60" s="1" t="s">
        <v>159</v>
      </c>
      <c r="L60" s="1" t="s">
        <v>159</v>
      </c>
      <c r="M60" s="7"/>
      <c r="N60" s="1" t="s">
        <v>230</v>
      </c>
    </row>
    <row r="61">
      <c r="B61" s="7"/>
      <c r="C61" s="1" t="s">
        <v>236</v>
      </c>
      <c r="D61" s="1" t="s">
        <v>142</v>
      </c>
      <c r="E61" s="1" t="s">
        <v>153</v>
      </c>
      <c r="F61" s="1" t="s">
        <v>159</v>
      </c>
      <c r="G61" s="1" t="s">
        <v>166</v>
      </c>
      <c r="H61" s="1" t="s">
        <v>168</v>
      </c>
      <c r="I61" s="1" t="s">
        <v>174</v>
      </c>
      <c r="J61" s="1" t="s">
        <v>178</v>
      </c>
      <c r="K61" s="1" t="s">
        <v>142</v>
      </c>
      <c r="L61" s="1" t="s">
        <v>159</v>
      </c>
      <c r="M61" s="7"/>
      <c r="N61" s="1" t="s">
        <v>230</v>
      </c>
    </row>
    <row r="62">
      <c r="B62" s="7"/>
      <c r="C62" s="1" t="s">
        <v>237</v>
      </c>
      <c r="D62" s="1" t="s">
        <v>142</v>
      </c>
      <c r="E62" s="1" t="s">
        <v>153</v>
      </c>
      <c r="F62" s="1" t="s">
        <v>159</v>
      </c>
      <c r="G62" s="1" t="s">
        <v>166</v>
      </c>
      <c r="H62" s="1" t="s">
        <v>168</v>
      </c>
      <c r="I62" s="1" t="s">
        <v>176</v>
      </c>
      <c r="J62" s="1" t="s">
        <v>178</v>
      </c>
      <c r="K62" s="1" t="s">
        <v>142</v>
      </c>
      <c r="L62" s="1" t="s">
        <v>159</v>
      </c>
      <c r="M62" s="7"/>
      <c r="N62" s="1" t="s">
        <v>230</v>
      </c>
    </row>
    <row r="63">
      <c r="B63" s="7"/>
      <c r="C63" s="1" t="s">
        <v>222</v>
      </c>
      <c r="D63" s="1" t="s">
        <v>142</v>
      </c>
      <c r="E63" s="1" t="s">
        <v>153</v>
      </c>
      <c r="F63" s="1" t="s">
        <v>159</v>
      </c>
      <c r="G63" s="1" t="s">
        <v>166</v>
      </c>
      <c r="H63" s="1" t="s">
        <v>168</v>
      </c>
      <c r="I63" s="1" t="s">
        <v>173</v>
      </c>
      <c r="J63" s="1" t="s">
        <v>178</v>
      </c>
      <c r="K63" s="1" t="s">
        <v>142</v>
      </c>
      <c r="L63" s="1" t="s">
        <v>159</v>
      </c>
      <c r="M63" s="7"/>
      <c r="N63" s="1" t="s">
        <v>230</v>
      </c>
    </row>
    <row r="66">
      <c r="B66" s="7"/>
      <c r="M66" s="7"/>
    </row>
    <row r="67">
      <c r="B67" s="7"/>
      <c r="M67" s="7"/>
    </row>
    <row r="68">
      <c r="B68" s="7"/>
      <c r="M68" s="7"/>
    </row>
    <row r="69">
      <c r="B69" s="7"/>
      <c r="M69" s="7"/>
    </row>
    <row r="70">
      <c r="B70" s="7"/>
      <c r="M70" s="7"/>
    </row>
    <row r="71">
      <c r="B71" s="7"/>
      <c r="M71" s="7"/>
    </row>
    <row r="72">
      <c r="B72" s="7"/>
      <c r="M72" s="7"/>
    </row>
    <row r="73">
      <c r="B73" s="7"/>
      <c r="M73" s="7"/>
    </row>
    <row r="74">
      <c r="B74" s="7"/>
      <c r="M74" s="7"/>
    </row>
    <row r="75">
      <c r="B75" s="7"/>
      <c r="M75" s="7"/>
    </row>
    <row r="76">
      <c r="B76" s="7"/>
      <c r="M76" s="7"/>
    </row>
    <row r="77">
      <c r="B77" s="7"/>
      <c r="M77" s="7"/>
    </row>
    <row r="78">
      <c r="B78" s="7"/>
      <c r="M78" s="7"/>
    </row>
    <row r="79">
      <c r="B79" s="7"/>
      <c r="M79" s="7"/>
    </row>
    <row r="80">
      <c r="B80" s="7"/>
      <c r="M80" s="7"/>
    </row>
    <row r="81">
      <c r="B81" s="7"/>
      <c r="M81" s="7"/>
    </row>
    <row r="82">
      <c r="B82" s="7"/>
      <c r="C82" s="1" t="s">
        <v>238</v>
      </c>
      <c r="M82" s="7"/>
    </row>
    <row r="83">
      <c r="B83" s="7"/>
      <c r="C83" s="1" t="s">
        <v>239</v>
      </c>
      <c r="D83" s="1" t="s">
        <v>141</v>
      </c>
      <c r="E83" s="1" t="s">
        <v>152</v>
      </c>
      <c r="F83" s="1" t="s">
        <v>161</v>
      </c>
      <c r="G83" s="1" t="s">
        <v>165</v>
      </c>
      <c r="H83" s="1" t="s">
        <v>169</v>
      </c>
      <c r="I83" s="1" t="s">
        <v>175</v>
      </c>
      <c r="J83" s="1" t="s">
        <v>179</v>
      </c>
      <c r="K83" s="1" t="s">
        <v>184</v>
      </c>
      <c r="L83" s="1" t="s">
        <v>189</v>
      </c>
      <c r="M83" s="7"/>
    </row>
    <row r="84">
      <c r="B84" s="7"/>
      <c r="C84" s="1" t="s">
        <v>240</v>
      </c>
      <c r="D84" s="1" t="s">
        <v>142</v>
      </c>
      <c r="E84" s="1" t="s">
        <v>153</v>
      </c>
      <c r="F84" s="1" t="s">
        <v>159</v>
      </c>
      <c r="G84" s="1" t="s">
        <v>166</v>
      </c>
      <c r="H84" s="1" t="s">
        <v>171</v>
      </c>
      <c r="I84" s="1" t="s">
        <v>173</v>
      </c>
      <c r="J84" s="1" t="s">
        <v>178</v>
      </c>
      <c r="K84" s="1" t="s">
        <v>185</v>
      </c>
      <c r="L84" s="1" t="s">
        <v>191</v>
      </c>
      <c r="M84" s="7"/>
    </row>
    <row r="85">
      <c r="B85" s="7"/>
      <c r="C85" s="1" t="s">
        <v>241</v>
      </c>
      <c r="D85" s="1" t="s">
        <v>143</v>
      </c>
      <c r="E85" s="1" t="s">
        <v>152</v>
      </c>
      <c r="F85" s="1" t="s">
        <v>160</v>
      </c>
      <c r="G85" s="1" t="s">
        <v>166</v>
      </c>
      <c r="H85" s="1" t="s">
        <v>168</v>
      </c>
      <c r="I85" s="1" t="s">
        <v>176</v>
      </c>
      <c r="J85" s="1" t="s">
        <v>180</v>
      </c>
      <c r="K85" s="1" t="s">
        <v>142</v>
      </c>
      <c r="L85" s="1" t="s">
        <v>190</v>
      </c>
      <c r="M85" s="7"/>
    </row>
    <row r="86">
      <c r="B86" s="7"/>
      <c r="C86" s="1" t="s">
        <v>242</v>
      </c>
      <c r="D86" s="1" t="s">
        <v>141</v>
      </c>
      <c r="E86" s="1" t="s">
        <v>152</v>
      </c>
      <c r="F86" s="1" t="s">
        <v>161</v>
      </c>
      <c r="G86" s="1" t="s">
        <v>165</v>
      </c>
      <c r="H86" s="1" t="s">
        <v>169</v>
      </c>
      <c r="I86" s="1" t="s">
        <v>175</v>
      </c>
      <c r="J86" s="1" t="s">
        <v>179</v>
      </c>
      <c r="K86" s="1" t="s">
        <v>184</v>
      </c>
      <c r="L86" s="1" t="s">
        <v>189</v>
      </c>
      <c r="M86" s="7"/>
    </row>
    <row r="87">
      <c r="B87" s="7"/>
      <c r="C87" s="11" t="s">
        <v>243</v>
      </c>
      <c r="D87" s="11" t="s">
        <v>141</v>
      </c>
      <c r="E87" s="1" t="s">
        <v>153</v>
      </c>
      <c r="F87" s="1" t="s">
        <v>159</v>
      </c>
      <c r="G87" s="1" t="s">
        <v>166</v>
      </c>
      <c r="H87" s="1" t="s">
        <v>168</v>
      </c>
      <c r="I87" s="1" t="s">
        <v>175</v>
      </c>
      <c r="J87" s="1" t="s">
        <v>178</v>
      </c>
      <c r="K87" s="1" t="s">
        <v>184</v>
      </c>
      <c r="L87" s="1" t="s">
        <v>190</v>
      </c>
      <c r="M87" s="7"/>
    </row>
    <row r="88">
      <c r="B88" s="7"/>
      <c r="C88" s="1" t="s">
        <v>244</v>
      </c>
      <c r="D88" s="1" t="s">
        <v>142</v>
      </c>
      <c r="E88" s="1" t="s">
        <v>152</v>
      </c>
      <c r="F88" s="1" t="s">
        <v>159</v>
      </c>
      <c r="G88" s="1" t="s">
        <v>165</v>
      </c>
      <c r="H88" s="1" t="s">
        <v>169</v>
      </c>
      <c r="I88" s="1" t="s">
        <v>159</v>
      </c>
      <c r="J88" s="1" t="s">
        <v>159</v>
      </c>
      <c r="K88" s="1" t="s">
        <v>159</v>
      </c>
      <c r="L88" s="1" t="s">
        <v>189</v>
      </c>
      <c r="M88" s="7"/>
    </row>
    <row r="89">
      <c r="B89" s="7"/>
      <c r="C89" s="1" t="s">
        <v>245</v>
      </c>
      <c r="D89" s="1" t="s">
        <v>141</v>
      </c>
      <c r="E89" s="1" t="s">
        <v>152</v>
      </c>
      <c r="F89" s="1" t="s">
        <v>159</v>
      </c>
      <c r="G89" s="1" t="s">
        <v>166</v>
      </c>
      <c r="H89" s="1" t="s">
        <v>168</v>
      </c>
      <c r="I89" s="1" t="s">
        <v>176</v>
      </c>
      <c r="J89" s="1" t="s">
        <v>181</v>
      </c>
      <c r="K89" s="1" t="s">
        <v>142</v>
      </c>
      <c r="L89" s="1" t="s">
        <v>190</v>
      </c>
      <c r="M89" s="7"/>
    </row>
    <row r="90">
      <c r="B90" s="7"/>
      <c r="C90" s="1" t="s">
        <v>246</v>
      </c>
      <c r="D90" s="1" t="s">
        <v>142</v>
      </c>
      <c r="E90" s="1" t="s">
        <v>153</v>
      </c>
      <c r="F90" s="1" t="s">
        <v>159</v>
      </c>
      <c r="G90" s="1" t="s">
        <v>166</v>
      </c>
      <c r="H90" s="1" t="s">
        <v>168</v>
      </c>
      <c r="I90" s="1" t="s">
        <v>173</v>
      </c>
      <c r="J90" s="1" t="s">
        <v>180</v>
      </c>
      <c r="K90" s="1" t="s">
        <v>185</v>
      </c>
      <c r="L90" s="1" t="s">
        <v>188</v>
      </c>
      <c r="M90" s="7"/>
    </row>
    <row r="91">
      <c r="B91" s="7"/>
      <c r="C91" s="1" t="s">
        <v>247</v>
      </c>
      <c r="D91" s="1" t="s">
        <v>143</v>
      </c>
      <c r="E91" s="1" t="s">
        <v>153</v>
      </c>
      <c r="F91" s="1" t="s">
        <v>159</v>
      </c>
      <c r="G91" s="1" t="s">
        <v>166</v>
      </c>
      <c r="H91" s="1" t="s">
        <v>168</v>
      </c>
      <c r="I91" s="1" t="s">
        <v>173</v>
      </c>
      <c r="J91" s="1" t="s">
        <v>178</v>
      </c>
      <c r="K91" s="1" t="s">
        <v>142</v>
      </c>
      <c r="L91" s="1" t="s">
        <v>159</v>
      </c>
      <c r="M91" s="7"/>
    </row>
    <row r="92">
      <c r="B92" s="7"/>
      <c r="C92" s="1" t="s">
        <v>248</v>
      </c>
      <c r="D92" s="1" t="s">
        <v>143</v>
      </c>
      <c r="E92" s="1" t="s">
        <v>152</v>
      </c>
      <c r="F92" s="1" t="s">
        <v>159</v>
      </c>
      <c r="G92" s="1" t="s">
        <v>165</v>
      </c>
      <c r="H92" s="1" t="s">
        <v>170</v>
      </c>
      <c r="I92" s="1" t="s">
        <v>159</v>
      </c>
      <c r="J92" s="1" t="s">
        <v>159</v>
      </c>
      <c r="K92" s="1" t="s">
        <v>159</v>
      </c>
      <c r="L92" s="1" t="s">
        <v>188</v>
      </c>
      <c r="M92" s="7"/>
    </row>
    <row r="93">
      <c r="B93" s="7"/>
      <c r="C93" s="1" t="s">
        <v>249</v>
      </c>
      <c r="D93" s="11" t="s">
        <v>142</v>
      </c>
      <c r="E93" s="1" t="s">
        <v>152</v>
      </c>
      <c r="F93" s="1" t="s">
        <v>159</v>
      </c>
      <c r="G93" s="1" t="s">
        <v>166</v>
      </c>
      <c r="H93" s="1" t="s">
        <v>168</v>
      </c>
      <c r="I93" s="1" t="s">
        <v>176</v>
      </c>
      <c r="J93" s="1" t="s">
        <v>178</v>
      </c>
      <c r="K93" s="1" t="s">
        <v>185</v>
      </c>
      <c r="L93" s="1" t="s">
        <v>190</v>
      </c>
      <c r="M93" s="7"/>
    </row>
    <row r="94">
      <c r="B94" s="7"/>
      <c r="C94" s="1" t="s">
        <v>250</v>
      </c>
      <c r="D94" s="1" t="s">
        <v>141</v>
      </c>
      <c r="E94" s="1" t="s">
        <v>153</v>
      </c>
      <c r="F94" s="1" t="s">
        <v>159</v>
      </c>
      <c r="G94" s="1" t="s">
        <v>166</v>
      </c>
      <c r="H94" s="1" t="s">
        <v>168</v>
      </c>
      <c r="I94" s="1" t="s">
        <v>174</v>
      </c>
      <c r="J94" s="1" t="s">
        <v>178</v>
      </c>
      <c r="K94" s="1" t="s">
        <v>142</v>
      </c>
      <c r="L94" s="1" t="s">
        <v>189</v>
      </c>
      <c r="M94" s="7"/>
    </row>
    <row r="95">
      <c r="B95" s="7"/>
      <c r="C95" s="1" t="s">
        <v>251</v>
      </c>
      <c r="D95" s="1" t="s">
        <v>142</v>
      </c>
      <c r="E95" s="1" t="s">
        <v>152</v>
      </c>
      <c r="F95" s="1" t="s">
        <v>159</v>
      </c>
      <c r="G95" s="1" t="s">
        <v>165</v>
      </c>
      <c r="H95" s="1" t="s">
        <v>169</v>
      </c>
      <c r="I95" s="1" t="s">
        <v>159</v>
      </c>
      <c r="J95" s="1" t="s">
        <v>159</v>
      </c>
      <c r="K95" s="1" t="s">
        <v>159</v>
      </c>
      <c r="L95" s="1" t="s">
        <v>159</v>
      </c>
      <c r="M95" s="7"/>
    </row>
    <row r="96">
      <c r="B96" s="7"/>
      <c r="C96" s="1" t="s">
        <v>252</v>
      </c>
      <c r="D96" s="1" t="s">
        <v>143</v>
      </c>
      <c r="E96" s="1" t="s">
        <v>153</v>
      </c>
      <c r="F96" s="1" t="s">
        <v>159</v>
      </c>
      <c r="G96" s="1" t="s">
        <v>166</v>
      </c>
      <c r="H96" s="1" t="s">
        <v>169</v>
      </c>
      <c r="I96" s="1" t="s">
        <v>159</v>
      </c>
      <c r="J96" s="1" t="s">
        <v>159</v>
      </c>
      <c r="K96" s="1" t="s">
        <v>159</v>
      </c>
      <c r="L96" s="1" t="s">
        <v>159</v>
      </c>
      <c r="M96" s="7"/>
    </row>
    <row r="97">
      <c r="B97" s="7"/>
      <c r="C97" s="1" t="s">
        <v>253</v>
      </c>
      <c r="D97" s="1" t="s">
        <v>143</v>
      </c>
      <c r="E97" s="1" t="s">
        <v>152</v>
      </c>
      <c r="F97" s="1" t="s">
        <v>159</v>
      </c>
      <c r="G97" s="1" t="s">
        <v>166</v>
      </c>
      <c r="H97" s="1" t="s">
        <v>168</v>
      </c>
      <c r="I97" s="1" t="s">
        <v>175</v>
      </c>
      <c r="J97" s="1" t="s">
        <v>178</v>
      </c>
      <c r="K97" s="1" t="s">
        <v>185</v>
      </c>
      <c r="L97" s="1" t="s">
        <v>188</v>
      </c>
      <c r="M97" s="7"/>
    </row>
    <row r="98">
      <c r="B98" s="7"/>
      <c r="C98" s="1" t="s">
        <v>245</v>
      </c>
      <c r="D98" s="1" t="s">
        <v>141</v>
      </c>
      <c r="E98" s="1" t="s">
        <v>152</v>
      </c>
      <c r="F98" s="1" t="s">
        <v>159</v>
      </c>
      <c r="G98" s="1" t="s">
        <v>166</v>
      </c>
      <c r="H98" s="1" t="s">
        <v>168</v>
      </c>
      <c r="I98" s="1" t="s">
        <v>176</v>
      </c>
      <c r="J98" s="1" t="s">
        <v>181</v>
      </c>
      <c r="K98" s="1" t="s">
        <v>142</v>
      </c>
      <c r="L98" s="1" t="s">
        <v>190</v>
      </c>
      <c r="M98" s="7"/>
    </row>
    <row r="99">
      <c r="B99" s="7"/>
      <c r="C99" s="1" t="s">
        <v>254</v>
      </c>
      <c r="D99" s="11" t="s">
        <v>142</v>
      </c>
      <c r="E99" s="1" t="s">
        <v>153</v>
      </c>
      <c r="F99" s="1" t="s">
        <v>159</v>
      </c>
      <c r="G99" s="1" t="s">
        <v>166</v>
      </c>
      <c r="H99" s="1" t="s">
        <v>168</v>
      </c>
      <c r="I99" s="1" t="s">
        <v>173</v>
      </c>
      <c r="J99" s="1" t="s">
        <v>178</v>
      </c>
      <c r="K99" s="1" t="s">
        <v>142</v>
      </c>
      <c r="L99" s="1" t="s">
        <v>159</v>
      </c>
      <c r="M99" s="7"/>
    </row>
    <row r="100">
      <c r="B100" s="7"/>
      <c r="C100" s="1" t="s">
        <v>255</v>
      </c>
      <c r="D100" s="1" t="s">
        <v>143</v>
      </c>
      <c r="E100" s="1" t="s">
        <v>152</v>
      </c>
      <c r="F100" s="1" t="s">
        <v>159</v>
      </c>
      <c r="G100" s="1" t="s">
        <v>165</v>
      </c>
      <c r="H100" s="1" t="s">
        <v>171</v>
      </c>
      <c r="I100" s="1" t="s">
        <v>159</v>
      </c>
      <c r="J100" s="1" t="s">
        <v>159</v>
      </c>
      <c r="K100" s="1" t="s">
        <v>159</v>
      </c>
      <c r="L100" s="1" t="s">
        <v>188</v>
      </c>
      <c r="M100" s="7"/>
    </row>
    <row r="101">
      <c r="B101" s="7"/>
      <c r="C101" s="1" t="s">
        <v>250</v>
      </c>
      <c r="D101" s="1" t="s">
        <v>141</v>
      </c>
      <c r="E101" s="1" t="s">
        <v>152</v>
      </c>
      <c r="F101" s="1" t="s">
        <v>161</v>
      </c>
      <c r="G101" s="1" t="s">
        <v>165</v>
      </c>
      <c r="H101" s="1" t="s">
        <v>169</v>
      </c>
      <c r="I101" s="1" t="s">
        <v>175</v>
      </c>
      <c r="J101" s="1" t="s">
        <v>179</v>
      </c>
      <c r="K101" s="1" t="s">
        <v>184</v>
      </c>
      <c r="L101" s="1" t="s">
        <v>189</v>
      </c>
      <c r="M101" s="7"/>
    </row>
    <row r="102">
      <c r="B102" s="7"/>
      <c r="C102" s="1" t="s">
        <v>251</v>
      </c>
      <c r="D102" s="1" t="s">
        <v>141</v>
      </c>
      <c r="E102" s="1" t="s">
        <v>152</v>
      </c>
      <c r="F102" s="1" t="s">
        <v>161</v>
      </c>
      <c r="G102" s="1" t="s">
        <v>165</v>
      </c>
      <c r="H102" s="1" t="s">
        <v>169</v>
      </c>
      <c r="I102" s="1" t="s">
        <v>175</v>
      </c>
      <c r="J102" s="1" t="s">
        <v>179</v>
      </c>
      <c r="K102" s="1" t="s">
        <v>184</v>
      </c>
      <c r="L102" s="1" t="s">
        <v>189</v>
      </c>
      <c r="M102" s="7"/>
    </row>
    <row r="103">
      <c r="B103" s="7"/>
      <c r="C103" s="1" t="s">
        <v>252</v>
      </c>
      <c r="D103" s="1" t="s">
        <v>141</v>
      </c>
      <c r="E103" s="1" t="s">
        <v>152</v>
      </c>
      <c r="F103" s="1" t="s">
        <v>161</v>
      </c>
      <c r="G103" s="1" t="s">
        <v>165</v>
      </c>
      <c r="H103" s="1" t="s">
        <v>169</v>
      </c>
      <c r="I103" s="1" t="s">
        <v>175</v>
      </c>
      <c r="J103" s="1" t="s">
        <v>179</v>
      </c>
      <c r="K103" s="1" t="s">
        <v>184</v>
      </c>
      <c r="L103" s="1" t="s">
        <v>189</v>
      </c>
      <c r="M103" s="7"/>
    </row>
    <row r="104">
      <c r="B104" s="7"/>
      <c r="C104" s="1" t="s">
        <v>253</v>
      </c>
      <c r="D104" s="1" t="s">
        <v>141</v>
      </c>
      <c r="E104" s="1" t="s">
        <v>152</v>
      </c>
      <c r="F104" s="1" t="s">
        <v>161</v>
      </c>
      <c r="G104" s="1" t="s">
        <v>165</v>
      </c>
      <c r="H104" s="1" t="s">
        <v>169</v>
      </c>
      <c r="I104" s="1" t="s">
        <v>175</v>
      </c>
      <c r="J104" s="1" t="s">
        <v>179</v>
      </c>
      <c r="K104" s="1" t="s">
        <v>184</v>
      </c>
      <c r="L104" s="1" t="s">
        <v>189</v>
      </c>
      <c r="M104" s="7"/>
    </row>
    <row r="105">
      <c r="B105" s="7"/>
      <c r="C105" s="1" t="s">
        <v>245</v>
      </c>
      <c r="D105" s="11" t="s">
        <v>141</v>
      </c>
      <c r="E105" s="1" t="s">
        <v>153</v>
      </c>
      <c r="F105" s="1" t="s">
        <v>159</v>
      </c>
      <c r="G105" s="1" t="s">
        <v>166</v>
      </c>
      <c r="H105" s="1" t="s">
        <v>168</v>
      </c>
      <c r="I105" s="1" t="s">
        <v>175</v>
      </c>
      <c r="J105" s="1" t="s">
        <v>178</v>
      </c>
      <c r="K105" s="1" t="s">
        <v>184</v>
      </c>
      <c r="L105" s="1" t="s">
        <v>190</v>
      </c>
      <c r="M105" s="7"/>
    </row>
    <row r="106">
      <c r="B106" s="7"/>
      <c r="C106" s="1" t="s">
        <v>254</v>
      </c>
      <c r="D106" s="1" t="s">
        <v>141</v>
      </c>
      <c r="E106" s="1" t="s">
        <v>152</v>
      </c>
      <c r="F106" s="1" t="s">
        <v>161</v>
      </c>
      <c r="G106" s="1" t="s">
        <v>165</v>
      </c>
      <c r="H106" s="1" t="s">
        <v>169</v>
      </c>
      <c r="I106" s="1" t="s">
        <v>175</v>
      </c>
      <c r="J106" s="1" t="s">
        <v>179</v>
      </c>
      <c r="K106" s="1" t="s">
        <v>184</v>
      </c>
      <c r="L106" s="1" t="s">
        <v>189</v>
      </c>
      <c r="M106" s="7"/>
    </row>
    <row r="107">
      <c r="B107" s="7"/>
      <c r="C107" s="1" t="s">
        <v>256</v>
      </c>
      <c r="D107" s="1" t="s">
        <v>141</v>
      </c>
      <c r="E107" s="1" t="s">
        <v>152</v>
      </c>
      <c r="F107" s="1" t="s">
        <v>160</v>
      </c>
      <c r="G107" s="1" t="s">
        <v>165</v>
      </c>
      <c r="H107" s="1" t="s">
        <v>168</v>
      </c>
      <c r="I107" s="1" t="s">
        <v>173</v>
      </c>
      <c r="J107" s="1" t="s">
        <v>178</v>
      </c>
      <c r="K107" s="1" t="s">
        <v>142</v>
      </c>
      <c r="L107" s="1" t="s">
        <v>188</v>
      </c>
      <c r="M107" s="7"/>
    </row>
    <row r="108">
      <c r="B108" s="7"/>
      <c r="C108" s="1" t="s">
        <v>257</v>
      </c>
      <c r="D108" s="1" t="s">
        <v>143</v>
      </c>
      <c r="E108" s="1" t="s">
        <v>153</v>
      </c>
      <c r="F108" s="1" t="s">
        <v>159</v>
      </c>
      <c r="G108" s="1" t="s">
        <v>166</v>
      </c>
      <c r="H108" s="1" t="s">
        <v>170</v>
      </c>
      <c r="I108" s="1" t="s">
        <v>159</v>
      </c>
      <c r="J108" s="1" t="s">
        <v>180</v>
      </c>
      <c r="K108" s="1" t="s">
        <v>185</v>
      </c>
      <c r="L108" s="1" t="s">
        <v>159</v>
      </c>
      <c r="M108" s="7"/>
      <c r="W108" s="1" t="s">
        <v>185</v>
      </c>
      <c r="Z108" s="1" t="s">
        <v>188</v>
      </c>
    </row>
    <row r="109">
      <c r="B109" s="7"/>
      <c r="C109" s="12" t="s">
        <v>258</v>
      </c>
      <c r="D109" s="1" t="s">
        <v>142</v>
      </c>
      <c r="E109" s="1" t="s">
        <v>152</v>
      </c>
      <c r="F109" s="1" t="s">
        <v>161</v>
      </c>
      <c r="G109" s="1" t="s">
        <v>165</v>
      </c>
      <c r="H109" s="1" t="s">
        <v>171</v>
      </c>
      <c r="I109" s="1" t="s">
        <v>159</v>
      </c>
      <c r="J109" s="1" t="s">
        <v>181</v>
      </c>
      <c r="K109" s="1" t="s">
        <v>186</v>
      </c>
      <c r="L109" s="1" t="s">
        <v>190</v>
      </c>
      <c r="M109" s="7"/>
      <c r="Y109" s="1" t="s">
        <v>190</v>
      </c>
    </row>
    <row r="110">
      <c r="B110" s="7"/>
      <c r="C110" s="1" t="s">
        <v>259</v>
      </c>
      <c r="D110" s="1" t="s">
        <v>141</v>
      </c>
      <c r="E110" s="1" t="s">
        <v>153</v>
      </c>
      <c r="F110" s="1" t="s">
        <v>160</v>
      </c>
      <c r="G110" s="1" t="s">
        <v>166</v>
      </c>
      <c r="H110" s="1" t="s">
        <v>169</v>
      </c>
      <c r="I110" s="1" t="s">
        <v>174</v>
      </c>
      <c r="J110" s="1" t="s">
        <v>179</v>
      </c>
      <c r="K110" s="1" t="s">
        <v>184</v>
      </c>
      <c r="L110" s="1" t="s">
        <v>189</v>
      </c>
      <c r="M110" s="7"/>
      <c r="Y110" s="1" t="s">
        <v>189</v>
      </c>
    </row>
    <row r="111">
      <c r="B111" s="7"/>
      <c r="C111" s="1" t="s">
        <v>260</v>
      </c>
      <c r="D111" s="1" t="s">
        <v>142</v>
      </c>
      <c r="E111" s="1" t="s">
        <v>152</v>
      </c>
      <c r="F111" s="1" t="s">
        <v>159</v>
      </c>
      <c r="G111" s="1" t="s">
        <v>165</v>
      </c>
      <c r="H111" s="1" t="s">
        <v>159</v>
      </c>
      <c r="I111" s="1" t="s">
        <v>175</v>
      </c>
      <c r="J111" s="1" t="s">
        <v>178</v>
      </c>
      <c r="K111" s="1" t="s">
        <v>142</v>
      </c>
      <c r="L111" s="1" t="s">
        <v>159</v>
      </c>
      <c r="M111" s="7"/>
      <c r="W111" s="1" t="s">
        <v>159</v>
      </c>
    </row>
    <row r="112">
      <c r="B112" s="7"/>
      <c r="C112" s="1" t="s">
        <v>261</v>
      </c>
      <c r="D112" s="1" t="s">
        <v>143</v>
      </c>
      <c r="E112" s="1" t="s">
        <v>152</v>
      </c>
      <c r="F112" s="1" t="s">
        <v>161</v>
      </c>
      <c r="G112" s="1" t="s">
        <v>166</v>
      </c>
      <c r="H112" s="1" t="s">
        <v>168</v>
      </c>
      <c r="I112" s="1" t="s">
        <v>176</v>
      </c>
      <c r="J112" s="1" t="s">
        <v>180</v>
      </c>
      <c r="K112" s="1" t="s">
        <v>185</v>
      </c>
      <c r="L112" s="1" t="s">
        <v>161</v>
      </c>
      <c r="M112" s="7"/>
      <c r="Y112" s="1" t="s">
        <v>159</v>
      </c>
      <c r="AB112" s="1" t="s">
        <v>159</v>
      </c>
      <c r="AE112" s="1" t="s">
        <v>191</v>
      </c>
    </row>
    <row r="113">
      <c r="B113" s="7"/>
      <c r="C113" s="1" t="s">
        <v>262</v>
      </c>
      <c r="D113" s="1" t="s">
        <v>142</v>
      </c>
      <c r="E113" s="1" t="s">
        <v>153</v>
      </c>
      <c r="F113" s="1" t="s">
        <v>159</v>
      </c>
      <c r="G113" s="1" t="s">
        <v>165</v>
      </c>
      <c r="H113" s="1" t="s">
        <v>170</v>
      </c>
      <c r="I113" s="1" t="s">
        <v>173</v>
      </c>
      <c r="J113" s="1" t="s">
        <v>181</v>
      </c>
      <c r="K113" s="1" t="s">
        <v>186</v>
      </c>
      <c r="L113" s="1" t="s">
        <v>191</v>
      </c>
      <c r="M113" s="7"/>
      <c r="Y113" s="1" t="s">
        <v>161</v>
      </c>
    </row>
    <row r="114">
      <c r="B114" s="7"/>
      <c r="C114" s="1" t="s">
        <v>263</v>
      </c>
      <c r="D114" s="1" t="s">
        <v>141</v>
      </c>
      <c r="E114" s="1" t="s">
        <v>152</v>
      </c>
      <c r="F114" s="1" t="s">
        <v>159</v>
      </c>
      <c r="G114" s="1" t="s">
        <v>166</v>
      </c>
      <c r="H114" s="1" t="s">
        <v>169</v>
      </c>
      <c r="I114" s="1" t="s">
        <v>159</v>
      </c>
      <c r="J114" s="1" t="s">
        <v>178</v>
      </c>
      <c r="K114" s="1" t="s">
        <v>142</v>
      </c>
      <c r="L114" s="1" t="s">
        <v>188</v>
      </c>
      <c r="M114" s="7"/>
      <c r="W114" s="1" t="s">
        <v>159</v>
      </c>
      <c r="Z114" s="1" t="s">
        <v>159</v>
      </c>
      <c r="AC114" s="1" t="s">
        <v>190</v>
      </c>
    </row>
    <row r="115">
      <c r="B115" s="7"/>
      <c r="C115" s="1" t="s">
        <v>264</v>
      </c>
      <c r="D115" s="1" t="s">
        <v>143</v>
      </c>
      <c r="E115" s="1" t="s">
        <v>153</v>
      </c>
      <c r="F115" s="1" t="s">
        <v>161</v>
      </c>
      <c r="G115" s="1" t="s">
        <v>166</v>
      </c>
      <c r="H115" s="1" t="s">
        <v>168</v>
      </c>
      <c r="I115" s="1" t="s">
        <v>175</v>
      </c>
      <c r="J115" s="1" t="s">
        <v>180</v>
      </c>
      <c r="K115" s="1" t="s">
        <v>185</v>
      </c>
      <c r="L115" s="1" t="s">
        <v>161</v>
      </c>
      <c r="M115" s="7"/>
      <c r="Y115" s="1" t="s">
        <v>159</v>
      </c>
    </row>
    <row r="116">
      <c r="B116" s="7"/>
      <c r="C116" s="1" t="s">
        <v>265</v>
      </c>
      <c r="D116" s="1" t="s">
        <v>142</v>
      </c>
      <c r="E116" s="1" t="s">
        <v>152</v>
      </c>
      <c r="F116" s="1" t="s">
        <v>159</v>
      </c>
      <c r="G116" s="1" t="s">
        <v>165</v>
      </c>
      <c r="H116" s="1" t="s">
        <v>171</v>
      </c>
      <c r="I116" s="1" t="s">
        <v>173</v>
      </c>
      <c r="J116" s="1" t="s">
        <v>179</v>
      </c>
      <c r="K116" s="1" t="s">
        <v>184</v>
      </c>
      <c r="L116" s="1" t="s">
        <v>159</v>
      </c>
      <c r="M116" s="7"/>
      <c r="Y116" s="1" t="s">
        <v>159</v>
      </c>
      <c r="AB116" s="1" t="s">
        <v>159</v>
      </c>
    </row>
    <row r="117">
      <c r="B117" s="7"/>
      <c r="C117" s="1" t="s">
        <v>266</v>
      </c>
      <c r="D117" s="1" t="s">
        <v>142</v>
      </c>
      <c r="E117" s="1" t="s">
        <v>153</v>
      </c>
      <c r="F117" s="1" t="s">
        <v>161</v>
      </c>
      <c r="G117" s="1" t="s">
        <v>166</v>
      </c>
      <c r="H117" s="1" t="s">
        <v>168</v>
      </c>
      <c r="I117" s="1" t="s">
        <v>174</v>
      </c>
      <c r="J117" s="1" t="s">
        <v>180</v>
      </c>
      <c r="K117" s="1" t="s">
        <v>142</v>
      </c>
      <c r="L117" s="1" t="s">
        <v>190</v>
      </c>
      <c r="M117" s="7"/>
      <c r="W117" s="1" t="s">
        <v>180</v>
      </c>
      <c r="Y117" s="1" t="s">
        <v>142</v>
      </c>
      <c r="AB117" s="1" t="s">
        <v>159</v>
      </c>
    </row>
    <row r="118">
      <c r="B118" s="7"/>
      <c r="C118" s="1" t="s">
        <v>267</v>
      </c>
      <c r="D118" s="1" t="s">
        <v>143</v>
      </c>
      <c r="E118" s="1" t="s">
        <v>152</v>
      </c>
      <c r="F118" s="1" t="s">
        <v>160</v>
      </c>
      <c r="G118" s="1" t="s">
        <v>165</v>
      </c>
      <c r="H118" s="1" t="s">
        <v>169</v>
      </c>
      <c r="I118" s="1" t="s">
        <v>159</v>
      </c>
      <c r="J118" s="1" t="s">
        <v>159</v>
      </c>
      <c r="K118" s="1" t="s">
        <v>159</v>
      </c>
      <c r="L118" s="1" t="s">
        <v>159</v>
      </c>
      <c r="M118" s="7"/>
    </row>
    <row r="119">
      <c r="B119" s="7"/>
      <c r="C119" s="1" t="s">
        <v>268</v>
      </c>
      <c r="D119" s="1" t="s">
        <v>143</v>
      </c>
      <c r="E119" s="1" t="s">
        <v>152</v>
      </c>
      <c r="F119" s="1" t="s">
        <v>159</v>
      </c>
      <c r="G119" s="1" t="s">
        <v>166</v>
      </c>
      <c r="H119" s="1" t="s">
        <v>168</v>
      </c>
      <c r="I119" s="1" t="s">
        <v>175</v>
      </c>
      <c r="J119" s="1" t="s">
        <v>178</v>
      </c>
      <c r="K119" s="1" t="s">
        <v>184</v>
      </c>
      <c r="L119" s="1" t="s">
        <v>188</v>
      </c>
      <c r="M119" s="7"/>
    </row>
    <row r="120">
      <c r="B120" s="7"/>
      <c r="C120" s="1" t="s">
        <v>269</v>
      </c>
      <c r="D120" s="1" t="s">
        <v>141</v>
      </c>
      <c r="E120" s="1" t="s">
        <v>153</v>
      </c>
      <c r="F120" s="1" t="s">
        <v>159</v>
      </c>
      <c r="G120" s="1" t="s">
        <v>165</v>
      </c>
      <c r="H120" s="1" t="s">
        <v>171</v>
      </c>
      <c r="I120" s="1" t="s">
        <v>159</v>
      </c>
      <c r="J120" s="1" t="s">
        <v>159</v>
      </c>
      <c r="K120" s="1" t="s">
        <v>159</v>
      </c>
      <c r="L120" s="1" t="s">
        <v>159</v>
      </c>
      <c r="M120" s="7"/>
    </row>
    <row r="121">
      <c r="B121" s="7"/>
      <c r="C121" s="1" t="s">
        <v>270</v>
      </c>
      <c r="D121" s="1" t="s">
        <v>142</v>
      </c>
      <c r="E121" s="1" t="s">
        <v>152</v>
      </c>
      <c r="F121" s="1" t="s">
        <v>161</v>
      </c>
      <c r="G121" s="1" t="s">
        <v>166</v>
      </c>
      <c r="H121" s="1" t="s">
        <v>168</v>
      </c>
      <c r="I121" s="1" t="s">
        <v>173</v>
      </c>
      <c r="J121" s="1" t="s">
        <v>181</v>
      </c>
      <c r="K121" s="1" t="s">
        <v>185</v>
      </c>
      <c r="L121" s="1" t="s">
        <v>159</v>
      </c>
      <c r="M121" s="7"/>
    </row>
    <row r="122">
      <c r="B122" s="7"/>
      <c r="C122" s="1" t="s">
        <v>271</v>
      </c>
      <c r="D122" s="1" t="s">
        <v>142</v>
      </c>
      <c r="E122" s="1" t="s">
        <v>153</v>
      </c>
      <c r="F122" s="1" t="s">
        <v>160</v>
      </c>
      <c r="G122" s="1" t="s">
        <v>166</v>
      </c>
      <c r="H122" s="1" t="s">
        <v>170</v>
      </c>
      <c r="I122" s="1" t="s">
        <v>159</v>
      </c>
      <c r="J122" s="1" t="s">
        <v>159</v>
      </c>
      <c r="K122" s="1" t="s">
        <v>159</v>
      </c>
      <c r="L122" s="1" t="s">
        <v>189</v>
      </c>
      <c r="M122" s="7"/>
    </row>
    <row r="123">
      <c r="B123" s="7"/>
      <c r="C123" s="1" t="s">
        <v>272</v>
      </c>
      <c r="D123" s="1" t="s">
        <v>143</v>
      </c>
      <c r="E123" s="1" t="s">
        <v>153</v>
      </c>
      <c r="F123" s="1" t="s">
        <v>161</v>
      </c>
      <c r="G123" s="1" t="s">
        <v>166</v>
      </c>
      <c r="H123" s="1" t="s">
        <v>168</v>
      </c>
      <c r="I123" s="1" t="s">
        <v>176</v>
      </c>
      <c r="J123" s="1" t="s">
        <v>178</v>
      </c>
      <c r="K123" s="1" t="s">
        <v>142</v>
      </c>
      <c r="L123" s="1" t="s">
        <v>159</v>
      </c>
      <c r="M123" s="7"/>
    </row>
    <row r="124">
      <c r="B124" s="7"/>
      <c r="C124" s="1" t="s">
        <v>249</v>
      </c>
      <c r="D124" s="1" t="s">
        <v>142</v>
      </c>
      <c r="E124" s="1" t="s">
        <v>152</v>
      </c>
      <c r="F124" s="1" t="s">
        <v>159</v>
      </c>
      <c r="G124" s="1" t="s">
        <v>166</v>
      </c>
      <c r="H124" s="1" t="s">
        <v>168</v>
      </c>
      <c r="I124" s="1" t="s">
        <v>174</v>
      </c>
      <c r="J124" s="1" t="s">
        <v>180</v>
      </c>
      <c r="K124" s="1" t="s">
        <v>184</v>
      </c>
      <c r="L124" s="1" t="s">
        <v>190</v>
      </c>
      <c r="M124" s="7"/>
    </row>
    <row r="125">
      <c r="B125" s="7"/>
      <c r="C125" s="1" t="s">
        <v>273</v>
      </c>
      <c r="D125" s="1" t="s">
        <v>141</v>
      </c>
      <c r="E125" s="1" t="s">
        <v>152</v>
      </c>
      <c r="F125" s="1" t="s">
        <v>160</v>
      </c>
      <c r="G125" s="1" t="s">
        <v>165</v>
      </c>
      <c r="H125" s="1" t="s">
        <v>169</v>
      </c>
      <c r="I125" s="1" t="s">
        <v>159</v>
      </c>
      <c r="J125" s="1" t="s">
        <v>159</v>
      </c>
      <c r="K125" s="1" t="s">
        <v>159</v>
      </c>
      <c r="L125" s="1" t="s">
        <v>189</v>
      </c>
      <c r="M125" s="7"/>
    </row>
    <row r="126">
      <c r="B126" s="7"/>
      <c r="C126" s="1" t="s">
        <v>274</v>
      </c>
      <c r="D126" s="1" t="s">
        <v>142</v>
      </c>
      <c r="E126" s="1" t="s">
        <v>153</v>
      </c>
      <c r="F126" s="1" t="s">
        <v>159</v>
      </c>
      <c r="G126" s="1" t="s">
        <v>166</v>
      </c>
      <c r="H126" s="1" t="s">
        <v>168</v>
      </c>
      <c r="I126" s="1" t="s">
        <v>173</v>
      </c>
      <c r="J126" s="1" t="s">
        <v>178</v>
      </c>
      <c r="K126" s="1" t="s">
        <v>142</v>
      </c>
      <c r="L126" s="1" t="s">
        <v>159</v>
      </c>
      <c r="M126" s="7"/>
    </row>
    <row r="127">
      <c r="B127" s="7"/>
      <c r="C127" s="1" t="s">
        <v>275</v>
      </c>
      <c r="D127" s="1" t="s">
        <v>142</v>
      </c>
      <c r="E127" s="1" t="s">
        <v>152</v>
      </c>
      <c r="F127" s="1" t="s">
        <v>161</v>
      </c>
      <c r="G127" s="1" t="s">
        <v>166</v>
      </c>
      <c r="H127" s="1" t="s">
        <v>168</v>
      </c>
      <c r="I127" s="1" t="s">
        <v>173</v>
      </c>
      <c r="J127" s="1" t="s">
        <v>178</v>
      </c>
      <c r="K127" s="1" t="s">
        <v>185</v>
      </c>
      <c r="L127" s="1" t="s">
        <v>190</v>
      </c>
      <c r="M127" s="7"/>
    </row>
    <row r="128">
      <c r="B128" s="7"/>
      <c r="D128" s="13"/>
      <c r="E128" s="13"/>
      <c r="F128" s="13"/>
      <c r="G128" s="13"/>
      <c r="H128" s="13"/>
      <c r="I128" s="13"/>
      <c r="J128" s="13"/>
      <c r="K128" s="13"/>
      <c r="L128" s="13"/>
      <c r="M128" s="7"/>
    </row>
    <row r="129">
      <c r="B129" s="7"/>
      <c r="D129" s="4"/>
      <c r="E129" s="4"/>
      <c r="F129" s="4"/>
      <c r="G129" s="13"/>
      <c r="H129" s="13"/>
      <c r="I129" s="13"/>
      <c r="J129" s="13"/>
      <c r="K129" s="13"/>
      <c r="L129" s="4"/>
      <c r="M129" s="7"/>
    </row>
    <row r="130">
      <c r="B130" s="7"/>
      <c r="D130" s="4"/>
      <c r="E130" s="4"/>
      <c r="F130" s="4"/>
      <c r="G130" s="13"/>
      <c r="H130" s="13"/>
      <c r="I130" s="13"/>
      <c r="J130" s="13"/>
      <c r="K130" s="13"/>
      <c r="L130" s="4"/>
      <c r="M130" s="7"/>
    </row>
    <row r="131">
      <c r="B131" s="7"/>
      <c r="D131" s="4"/>
      <c r="E131" s="4"/>
      <c r="F131" s="4"/>
      <c r="G131" s="13"/>
      <c r="H131" s="13"/>
      <c r="I131" s="13"/>
      <c r="J131" s="13"/>
      <c r="K131" s="13"/>
      <c r="L131" s="4"/>
      <c r="M131" s="7"/>
    </row>
    <row r="132">
      <c r="B132" s="7"/>
      <c r="D132" s="4"/>
      <c r="E132" s="4"/>
      <c r="F132" s="4"/>
      <c r="G132" s="13"/>
      <c r="H132" s="13"/>
      <c r="I132" s="13"/>
      <c r="J132" s="13"/>
      <c r="K132" s="13"/>
      <c r="L132" s="4"/>
      <c r="M132" s="7"/>
    </row>
    <row r="133">
      <c r="B133" s="7"/>
      <c r="D133" s="4"/>
      <c r="E133" s="4"/>
      <c r="F133" s="4"/>
      <c r="G133" s="13"/>
      <c r="H133" s="13"/>
      <c r="I133" s="13"/>
      <c r="J133" s="13"/>
      <c r="K133" s="13"/>
      <c r="L133" s="4"/>
      <c r="M133" s="7"/>
    </row>
    <row r="134">
      <c r="B134" s="7"/>
      <c r="D134" s="4"/>
      <c r="E134" s="4"/>
      <c r="F134" s="4"/>
      <c r="G134" s="13"/>
      <c r="H134" s="13"/>
      <c r="I134" s="13"/>
      <c r="J134" s="13"/>
      <c r="K134" s="13"/>
      <c r="L134" s="4"/>
      <c r="M134" s="7"/>
    </row>
    <row r="135">
      <c r="B135" s="7"/>
      <c r="D135" s="4"/>
      <c r="E135" s="4"/>
      <c r="F135" s="4"/>
      <c r="G135" s="13"/>
      <c r="H135" s="13"/>
      <c r="I135" s="13"/>
      <c r="J135" s="13"/>
      <c r="K135" s="13"/>
      <c r="L135" s="4"/>
      <c r="M135" s="7"/>
    </row>
    <row r="136">
      <c r="B136" s="7"/>
      <c r="D136" s="4"/>
      <c r="E136" s="4"/>
      <c r="F136" s="4"/>
      <c r="G136" s="13"/>
      <c r="H136" s="13"/>
      <c r="I136" s="13"/>
      <c r="J136" s="13"/>
      <c r="K136" s="13"/>
      <c r="L136" s="4"/>
      <c r="M136" s="7"/>
    </row>
    <row r="137">
      <c r="B137" s="7"/>
      <c r="D137" s="4"/>
      <c r="E137" s="4"/>
      <c r="F137" s="4"/>
      <c r="G137" s="13"/>
      <c r="H137" s="13"/>
      <c r="I137" s="13"/>
      <c r="J137" s="13"/>
      <c r="K137" s="13"/>
      <c r="L137" s="4"/>
      <c r="M137" s="7"/>
    </row>
    <row r="138">
      <c r="B138" s="7"/>
      <c r="D138" s="4"/>
      <c r="E138" s="4"/>
      <c r="F138" s="4"/>
      <c r="G138" s="13"/>
      <c r="H138" s="13"/>
      <c r="I138" s="13"/>
      <c r="J138" s="13"/>
      <c r="K138" s="13"/>
      <c r="L138" s="4"/>
      <c r="M138" s="7"/>
    </row>
    <row r="139">
      <c r="B139" s="7"/>
      <c r="D139" s="4"/>
      <c r="E139" s="4"/>
      <c r="F139" s="4"/>
      <c r="G139" s="13"/>
      <c r="H139" s="13"/>
      <c r="I139" s="13"/>
      <c r="J139" s="13"/>
      <c r="K139" s="13"/>
      <c r="L139" s="4"/>
      <c r="M139" s="7"/>
    </row>
    <row r="140">
      <c r="B140" s="7"/>
      <c r="D140" s="4"/>
      <c r="E140" s="4"/>
      <c r="F140" s="4"/>
      <c r="G140" s="13"/>
      <c r="H140" s="13"/>
      <c r="I140" s="13"/>
      <c r="J140" s="13"/>
      <c r="K140" s="13"/>
      <c r="L140" s="4"/>
      <c r="M140" s="7"/>
    </row>
    <row r="141">
      <c r="B141" s="7"/>
      <c r="D141" s="4"/>
      <c r="E141" s="4"/>
      <c r="F141" s="4"/>
      <c r="G141" s="13"/>
      <c r="H141" s="13"/>
      <c r="I141" s="13"/>
      <c r="J141" s="13"/>
      <c r="K141" s="13"/>
      <c r="L141" s="4"/>
      <c r="M141" s="7"/>
    </row>
    <row r="142">
      <c r="B142" s="7"/>
      <c r="D142" s="4"/>
      <c r="E142" s="4"/>
      <c r="F142" s="4"/>
      <c r="G142" s="4"/>
      <c r="H142" s="4"/>
      <c r="I142" s="4"/>
      <c r="J142" s="4"/>
      <c r="K142" s="4"/>
      <c r="L142" s="4"/>
      <c r="M142" s="7"/>
    </row>
    <row r="143">
      <c r="B143" s="7"/>
      <c r="D143" s="4"/>
      <c r="E143" s="4"/>
      <c r="F143" s="4"/>
      <c r="G143" s="4"/>
      <c r="H143" s="4"/>
      <c r="I143" s="4"/>
      <c r="J143" s="4"/>
      <c r="K143" s="4"/>
      <c r="L143" s="4"/>
      <c r="M143" s="7"/>
    </row>
    <row r="144">
      <c r="B144" s="7"/>
      <c r="D144" s="4"/>
      <c r="E144" s="4"/>
      <c r="F144" s="4"/>
      <c r="G144" s="4"/>
      <c r="H144" s="4"/>
      <c r="I144" s="4"/>
      <c r="J144" s="4"/>
      <c r="K144" s="4"/>
      <c r="L144" s="4"/>
      <c r="M144" s="7"/>
    </row>
    <row r="145">
      <c r="B145" s="7"/>
      <c r="D145" s="4"/>
      <c r="E145" s="4"/>
      <c r="F145" s="4"/>
      <c r="G145" s="4"/>
      <c r="H145" s="4"/>
      <c r="I145" s="4"/>
      <c r="J145" s="4"/>
      <c r="K145" s="4"/>
      <c r="L145" s="4"/>
      <c r="M145" s="7"/>
    </row>
    <row r="146">
      <c r="B146" s="7"/>
      <c r="D146" s="4"/>
      <c r="E146" s="4"/>
      <c r="F146" s="4"/>
      <c r="G146" s="4"/>
      <c r="H146" s="4"/>
      <c r="I146" s="4"/>
      <c r="J146" s="4"/>
      <c r="K146" s="4"/>
      <c r="L146" s="4"/>
      <c r="M146" s="7"/>
    </row>
    <row r="147">
      <c r="B147" s="7"/>
      <c r="D147" s="4"/>
      <c r="E147" s="4"/>
      <c r="F147" s="4"/>
      <c r="G147" s="4"/>
      <c r="H147" s="4"/>
      <c r="I147" s="4"/>
      <c r="J147" s="4"/>
      <c r="K147" s="4"/>
      <c r="L147" s="4"/>
      <c r="M147" s="7"/>
    </row>
    <row r="148">
      <c r="B148" s="7"/>
      <c r="D148" s="4"/>
      <c r="E148" s="4"/>
      <c r="F148" s="4"/>
      <c r="G148" s="4"/>
      <c r="H148" s="4"/>
      <c r="I148" s="4"/>
      <c r="J148" s="4"/>
      <c r="K148" s="4"/>
      <c r="L148" s="4"/>
      <c r="M148" s="7"/>
    </row>
    <row r="149">
      <c r="B149" s="7"/>
      <c r="D149" s="4"/>
      <c r="E149" s="4"/>
      <c r="F149" s="4"/>
      <c r="G149" s="4"/>
      <c r="H149" s="4"/>
      <c r="I149" s="4"/>
      <c r="J149" s="4"/>
      <c r="K149" s="4"/>
      <c r="L149" s="4"/>
      <c r="M149" s="7"/>
    </row>
    <row r="150">
      <c r="B150" s="7"/>
      <c r="D150" s="4"/>
      <c r="E150" s="4"/>
      <c r="F150" s="4"/>
      <c r="G150" s="4"/>
      <c r="H150" s="4"/>
      <c r="I150" s="4"/>
      <c r="J150" s="4"/>
      <c r="K150" s="4"/>
      <c r="L150" s="4"/>
      <c r="M150" s="7"/>
    </row>
    <row r="151">
      <c r="B151" s="7"/>
      <c r="D151" s="4"/>
      <c r="E151" s="4"/>
      <c r="F151" s="4"/>
      <c r="G151" s="4"/>
      <c r="H151" s="4"/>
      <c r="I151" s="4"/>
      <c r="J151" s="4"/>
      <c r="K151" s="4"/>
      <c r="L151" s="4"/>
      <c r="M151" s="7"/>
    </row>
    <row r="152">
      <c r="B152" s="7"/>
      <c r="M152" s="7"/>
    </row>
    <row r="153">
      <c r="B153" s="7"/>
      <c r="M153" s="7"/>
    </row>
    <row r="154">
      <c r="B154" s="7"/>
      <c r="M154" s="7"/>
    </row>
    <row r="155">
      <c r="B155" s="7"/>
      <c r="M155" s="7"/>
    </row>
    <row r="156">
      <c r="B156" s="7"/>
      <c r="M156" s="7"/>
    </row>
    <row r="157">
      <c r="B157" s="7"/>
      <c r="M157" s="7"/>
    </row>
    <row r="158">
      <c r="B158" s="7"/>
      <c r="M158" s="7"/>
    </row>
    <row r="159">
      <c r="B159" s="7"/>
      <c r="M159" s="7"/>
    </row>
    <row r="160">
      <c r="B160" s="7"/>
      <c r="M160" s="7"/>
    </row>
    <row r="161">
      <c r="B161" s="7"/>
      <c r="M161" s="7"/>
    </row>
    <row r="162">
      <c r="B162" s="7"/>
      <c r="M162" s="7"/>
    </row>
    <row r="163">
      <c r="B163" s="7"/>
      <c r="M163" s="7"/>
    </row>
    <row r="164">
      <c r="B164" s="7"/>
      <c r="M164" s="7"/>
    </row>
    <row r="165">
      <c r="B165" s="7"/>
      <c r="M165" s="7"/>
    </row>
    <row r="166">
      <c r="B166" s="7"/>
      <c r="M166" s="7"/>
    </row>
    <row r="167">
      <c r="B167" s="7"/>
      <c r="M167" s="7"/>
    </row>
    <row r="168">
      <c r="B168" s="7"/>
      <c r="M168" s="7"/>
    </row>
    <row r="169">
      <c r="B169" s="7"/>
      <c r="M169" s="7"/>
    </row>
    <row r="170">
      <c r="B170" s="7"/>
      <c r="M170" s="7"/>
    </row>
    <row r="171">
      <c r="B171" s="7"/>
      <c r="M171" s="7"/>
    </row>
    <row r="172">
      <c r="B172" s="7"/>
      <c r="M172" s="7"/>
    </row>
    <row r="173">
      <c r="B173" s="7"/>
      <c r="M173" s="7"/>
    </row>
    <row r="174">
      <c r="B174" s="7"/>
      <c r="M174" s="7"/>
    </row>
    <row r="175">
      <c r="B175" s="7"/>
      <c r="M175" s="7"/>
    </row>
    <row r="176">
      <c r="B176" s="7"/>
      <c r="M176" s="7"/>
    </row>
    <row r="177">
      <c r="B177" s="7"/>
      <c r="M177" s="7"/>
    </row>
    <row r="178">
      <c r="B178" s="7"/>
      <c r="M178" s="7"/>
    </row>
    <row r="179">
      <c r="B179" s="7"/>
      <c r="M179" s="7"/>
    </row>
    <row r="180">
      <c r="B180" s="7"/>
      <c r="M180" s="7"/>
    </row>
    <row r="181">
      <c r="B181" s="7"/>
      <c r="M181" s="7"/>
    </row>
    <row r="182">
      <c r="B182" s="7"/>
      <c r="M182" s="7"/>
    </row>
    <row r="183">
      <c r="B183" s="7"/>
      <c r="M183" s="7"/>
    </row>
    <row r="184">
      <c r="B184" s="7"/>
      <c r="M184" s="7"/>
    </row>
    <row r="185">
      <c r="B185" s="7"/>
      <c r="M185" s="7"/>
    </row>
    <row r="186">
      <c r="B186" s="7"/>
      <c r="M186" s="7"/>
    </row>
    <row r="187">
      <c r="B187" s="7"/>
      <c r="M187" s="7"/>
    </row>
    <row r="188">
      <c r="B188" s="7"/>
      <c r="M188" s="7"/>
    </row>
    <row r="189">
      <c r="B189" s="7"/>
      <c r="M189" s="7"/>
    </row>
    <row r="190">
      <c r="B190" s="7"/>
      <c r="M190" s="7"/>
    </row>
    <row r="191">
      <c r="B191" s="7"/>
      <c r="M191" s="7"/>
    </row>
    <row r="192">
      <c r="B192" s="7"/>
      <c r="M192" s="7"/>
    </row>
    <row r="193">
      <c r="B193" s="7"/>
      <c r="M193" s="7"/>
    </row>
    <row r="194">
      <c r="B194" s="7"/>
      <c r="M194" s="7"/>
    </row>
    <row r="195">
      <c r="B195" s="7"/>
      <c r="M195" s="7"/>
    </row>
    <row r="196">
      <c r="B196" s="7"/>
      <c r="M196" s="7"/>
    </row>
    <row r="197">
      <c r="B197" s="7"/>
      <c r="M197" s="7"/>
    </row>
    <row r="198">
      <c r="B198" s="7"/>
      <c r="M198" s="7"/>
    </row>
    <row r="199">
      <c r="B199" s="7"/>
      <c r="M199" s="7"/>
    </row>
    <row r="200">
      <c r="B200" s="7"/>
      <c r="M200" s="7"/>
    </row>
    <row r="201">
      <c r="B201" s="7"/>
      <c r="M201" s="7"/>
    </row>
    <row r="202">
      <c r="B202" s="7"/>
      <c r="M202" s="7"/>
    </row>
    <row r="203">
      <c r="B203" s="7"/>
      <c r="M203" s="7"/>
    </row>
    <row r="204">
      <c r="B204" s="7"/>
      <c r="M204" s="7"/>
    </row>
    <row r="205">
      <c r="B205" s="7"/>
      <c r="M205" s="7"/>
    </row>
    <row r="206">
      <c r="B206" s="7"/>
      <c r="M206" s="7"/>
    </row>
    <row r="207">
      <c r="B207" s="7"/>
      <c r="M207" s="7"/>
    </row>
    <row r="208">
      <c r="B208" s="7"/>
      <c r="M208" s="7"/>
    </row>
    <row r="209">
      <c r="B209" s="7"/>
      <c r="M209" s="7"/>
    </row>
    <row r="210">
      <c r="B210" s="7"/>
      <c r="M210" s="7"/>
    </row>
    <row r="211">
      <c r="B211" s="7"/>
      <c r="M211" s="7"/>
    </row>
    <row r="212">
      <c r="B212" s="7"/>
      <c r="M212" s="7"/>
    </row>
    <row r="213">
      <c r="B213" s="7"/>
      <c r="M213" s="7"/>
    </row>
    <row r="214">
      <c r="B214" s="7"/>
      <c r="M214" s="7"/>
    </row>
    <row r="215">
      <c r="B215" s="7"/>
      <c r="M215" s="7"/>
    </row>
    <row r="216">
      <c r="B216" s="7"/>
      <c r="M216" s="7"/>
    </row>
    <row r="217">
      <c r="B217" s="7"/>
      <c r="M217" s="7"/>
    </row>
    <row r="218">
      <c r="B218" s="7"/>
      <c r="M218" s="7"/>
    </row>
    <row r="219">
      <c r="B219" s="7"/>
      <c r="M219" s="7"/>
    </row>
    <row r="220">
      <c r="B220" s="7"/>
      <c r="M220" s="7"/>
    </row>
    <row r="221">
      <c r="B221" s="7"/>
      <c r="M221" s="7"/>
    </row>
    <row r="222">
      <c r="B222" s="7"/>
      <c r="M222" s="7"/>
    </row>
    <row r="223">
      <c r="B223" s="7"/>
      <c r="M223" s="7"/>
    </row>
    <row r="224">
      <c r="B224" s="7"/>
      <c r="M224" s="7"/>
    </row>
    <row r="225">
      <c r="B225" s="7"/>
      <c r="M225" s="7"/>
    </row>
    <row r="226">
      <c r="B226" s="7"/>
      <c r="M226" s="7"/>
    </row>
    <row r="227">
      <c r="B227" s="7"/>
      <c r="M227" s="7"/>
    </row>
    <row r="228">
      <c r="B228" s="7"/>
      <c r="M228" s="7"/>
    </row>
    <row r="229">
      <c r="B229" s="7"/>
      <c r="M229" s="7"/>
    </row>
    <row r="230">
      <c r="B230" s="7"/>
      <c r="M230" s="7"/>
    </row>
    <row r="231">
      <c r="B231" s="7"/>
      <c r="M231" s="7"/>
    </row>
    <row r="232">
      <c r="B232" s="7"/>
      <c r="M232" s="7"/>
    </row>
    <row r="233">
      <c r="B233" s="7"/>
      <c r="M233" s="7"/>
    </row>
    <row r="234">
      <c r="B234" s="7"/>
      <c r="M234" s="7"/>
    </row>
    <row r="235">
      <c r="B235" s="7"/>
      <c r="M235" s="7"/>
    </row>
    <row r="236">
      <c r="B236" s="7"/>
      <c r="M236" s="7"/>
    </row>
    <row r="237">
      <c r="B237" s="7"/>
      <c r="M237" s="7"/>
    </row>
    <row r="238">
      <c r="B238" s="7"/>
      <c r="M238" s="7"/>
    </row>
    <row r="239">
      <c r="B239" s="7"/>
      <c r="M239" s="7"/>
    </row>
    <row r="240">
      <c r="B240" s="7"/>
      <c r="M240" s="7"/>
    </row>
    <row r="241">
      <c r="B241" s="7"/>
      <c r="M241" s="7"/>
    </row>
    <row r="242">
      <c r="B242" s="7"/>
      <c r="M242" s="7"/>
    </row>
    <row r="243">
      <c r="B243" s="7"/>
      <c r="M243" s="7"/>
    </row>
    <row r="244">
      <c r="B244" s="7"/>
      <c r="M244" s="7"/>
    </row>
    <row r="245">
      <c r="B245" s="7"/>
      <c r="M245" s="7"/>
    </row>
    <row r="246">
      <c r="B246" s="7"/>
      <c r="M246" s="7"/>
    </row>
    <row r="247">
      <c r="B247" s="7"/>
      <c r="M247" s="7"/>
    </row>
    <row r="248">
      <c r="B248" s="7"/>
      <c r="M248" s="7"/>
    </row>
    <row r="249">
      <c r="B249" s="7"/>
      <c r="M249" s="7"/>
    </row>
    <row r="250">
      <c r="B250" s="7"/>
      <c r="M250" s="7"/>
    </row>
    <row r="251">
      <c r="B251" s="7"/>
      <c r="M251" s="7"/>
    </row>
    <row r="252">
      <c r="B252" s="7"/>
      <c r="M252" s="7"/>
    </row>
    <row r="253">
      <c r="B253" s="7"/>
      <c r="M253" s="7"/>
    </row>
    <row r="254">
      <c r="B254" s="7"/>
      <c r="M254" s="7"/>
    </row>
    <row r="255">
      <c r="B255" s="7"/>
      <c r="M255" s="7"/>
    </row>
    <row r="256">
      <c r="B256" s="7"/>
      <c r="M256" s="7"/>
    </row>
    <row r="257">
      <c r="B257" s="7"/>
      <c r="M257" s="7"/>
    </row>
    <row r="258">
      <c r="B258" s="7"/>
      <c r="M258" s="7"/>
    </row>
    <row r="259">
      <c r="B259" s="7"/>
      <c r="M259" s="7"/>
    </row>
    <row r="260">
      <c r="B260" s="7"/>
      <c r="M260" s="7"/>
    </row>
    <row r="261">
      <c r="B261" s="7"/>
      <c r="M261" s="7"/>
    </row>
    <row r="262">
      <c r="B262" s="7"/>
      <c r="M262" s="7"/>
    </row>
    <row r="263">
      <c r="B263" s="7"/>
      <c r="M263" s="7"/>
    </row>
    <row r="264">
      <c r="B264" s="7"/>
      <c r="M264" s="7"/>
    </row>
    <row r="265">
      <c r="B265" s="7"/>
      <c r="M265" s="7"/>
    </row>
    <row r="266">
      <c r="B266" s="7"/>
      <c r="M266" s="7"/>
    </row>
    <row r="267">
      <c r="B267" s="7"/>
      <c r="M267" s="7"/>
    </row>
    <row r="268">
      <c r="B268" s="7"/>
      <c r="M268" s="7"/>
    </row>
    <row r="269">
      <c r="B269" s="7"/>
      <c r="M269" s="7"/>
    </row>
    <row r="270">
      <c r="B270" s="7"/>
      <c r="M270" s="7"/>
    </row>
    <row r="271">
      <c r="B271" s="7"/>
      <c r="M271" s="7"/>
    </row>
    <row r="272">
      <c r="B272" s="7"/>
      <c r="M272" s="7"/>
    </row>
    <row r="273">
      <c r="B273" s="7"/>
      <c r="M273" s="7"/>
    </row>
    <row r="274">
      <c r="B274" s="7"/>
      <c r="M274" s="7"/>
    </row>
    <row r="275">
      <c r="B275" s="7"/>
      <c r="M275" s="7"/>
    </row>
    <row r="276">
      <c r="B276" s="7"/>
      <c r="M276" s="7"/>
    </row>
    <row r="277">
      <c r="B277" s="7"/>
      <c r="M277" s="7"/>
    </row>
    <row r="278">
      <c r="B278" s="7"/>
      <c r="M278" s="7"/>
    </row>
    <row r="279">
      <c r="B279" s="7"/>
      <c r="M279" s="7"/>
    </row>
    <row r="280">
      <c r="B280" s="7"/>
      <c r="M280" s="7"/>
    </row>
    <row r="281">
      <c r="B281" s="7"/>
      <c r="M281" s="7"/>
    </row>
    <row r="282">
      <c r="B282" s="7"/>
      <c r="M282" s="7"/>
    </row>
    <row r="283">
      <c r="B283" s="7"/>
      <c r="M283" s="7"/>
    </row>
    <row r="284">
      <c r="B284" s="7"/>
      <c r="M284" s="7"/>
    </row>
    <row r="285">
      <c r="B285" s="7"/>
      <c r="M285" s="7"/>
    </row>
    <row r="286">
      <c r="B286" s="7"/>
      <c r="M286" s="7"/>
    </row>
    <row r="287">
      <c r="B287" s="7"/>
      <c r="M287" s="7"/>
    </row>
    <row r="288">
      <c r="B288" s="7"/>
      <c r="M288" s="7"/>
    </row>
    <row r="289">
      <c r="B289" s="7"/>
      <c r="M289" s="7"/>
    </row>
    <row r="290">
      <c r="B290" s="7"/>
      <c r="M290" s="7"/>
    </row>
    <row r="291">
      <c r="B291" s="7"/>
      <c r="M291" s="7"/>
    </row>
    <row r="292">
      <c r="B292" s="7"/>
      <c r="M292" s="7"/>
    </row>
    <row r="293">
      <c r="B293" s="7"/>
      <c r="M293" s="7"/>
    </row>
    <row r="294">
      <c r="B294" s="7"/>
      <c r="M294" s="7"/>
    </row>
    <row r="295">
      <c r="B295" s="7"/>
      <c r="M295" s="7"/>
    </row>
    <row r="296">
      <c r="B296" s="7"/>
      <c r="M296" s="7"/>
    </row>
    <row r="297">
      <c r="B297" s="7"/>
      <c r="M297" s="7"/>
    </row>
    <row r="298">
      <c r="B298" s="7"/>
      <c r="M298" s="7"/>
    </row>
    <row r="299">
      <c r="B299" s="7"/>
      <c r="M299" s="7"/>
    </row>
    <row r="300">
      <c r="B300" s="7"/>
      <c r="M300" s="7"/>
    </row>
    <row r="301">
      <c r="B301" s="7"/>
      <c r="M301" s="7"/>
    </row>
    <row r="302">
      <c r="B302" s="7"/>
      <c r="M302" s="7"/>
    </row>
    <row r="303">
      <c r="B303" s="7"/>
      <c r="M303" s="7"/>
    </row>
    <row r="304">
      <c r="B304" s="7"/>
      <c r="M304" s="7"/>
    </row>
    <row r="305">
      <c r="B305" s="7"/>
      <c r="M305" s="7"/>
    </row>
    <row r="306">
      <c r="B306" s="7"/>
      <c r="M306" s="7"/>
    </row>
    <row r="307">
      <c r="B307" s="7"/>
      <c r="M307" s="7"/>
    </row>
    <row r="308">
      <c r="B308" s="7"/>
      <c r="M308" s="7"/>
    </row>
    <row r="309">
      <c r="B309" s="7"/>
      <c r="M309" s="7"/>
    </row>
    <row r="310">
      <c r="B310" s="7"/>
      <c r="M310" s="7"/>
    </row>
    <row r="311">
      <c r="B311" s="7"/>
      <c r="M311" s="7"/>
    </row>
    <row r="312">
      <c r="B312" s="7"/>
      <c r="M312" s="7"/>
    </row>
    <row r="313">
      <c r="B313" s="7"/>
      <c r="M313" s="7"/>
    </row>
    <row r="314">
      <c r="B314" s="7"/>
      <c r="M314" s="7"/>
    </row>
    <row r="315">
      <c r="B315" s="7"/>
      <c r="M315" s="7"/>
    </row>
    <row r="316">
      <c r="B316" s="7"/>
      <c r="M316" s="7"/>
    </row>
    <row r="317">
      <c r="B317" s="7"/>
      <c r="M317" s="7"/>
    </row>
    <row r="318">
      <c r="B318" s="7"/>
      <c r="M318" s="7"/>
    </row>
    <row r="319">
      <c r="B319" s="7"/>
      <c r="M319" s="7"/>
    </row>
    <row r="320">
      <c r="B320" s="7"/>
      <c r="M320" s="7"/>
    </row>
    <row r="321">
      <c r="B321" s="7"/>
      <c r="M321" s="7"/>
    </row>
    <row r="322">
      <c r="B322" s="7"/>
      <c r="M322" s="7"/>
    </row>
    <row r="323">
      <c r="B323" s="7"/>
      <c r="M323" s="7"/>
    </row>
    <row r="324">
      <c r="B324" s="7"/>
      <c r="M324" s="7"/>
    </row>
    <row r="325">
      <c r="B325" s="7"/>
      <c r="M325" s="7"/>
    </row>
    <row r="326">
      <c r="B326" s="7"/>
      <c r="M326" s="7"/>
    </row>
    <row r="327">
      <c r="B327" s="7"/>
      <c r="M327" s="7"/>
    </row>
    <row r="328">
      <c r="B328" s="7"/>
      <c r="M328" s="7"/>
    </row>
    <row r="329">
      <c r="B329" s="7"/>
      <c r="M329" s="7"/>
    </row>
    <row r="330">
      <c r="B330" s="7"/>
      <c r="M330" s="7"/>
    </row>
    <row r="331">
      <c r="B331" s="7"/>
      <c r="M331" s="7"/>
    </row>
    <row r="332">
      <c r="B332" s="7"/>
      <c r="M332" s="7"/>
    </row>
    <row r="333">
      <c r="B333" s="7"/>
      <c r="M333" s="7"/>
    </row>
    <row r="334">
      <c r="B334" s="7"/>
      <c r="M334" s="7"/>
    </row>
    <row r="335">
      <c r="B335" s="7"/>
      <c r="M335" s="7"/>
    </row>
    <row r="336">
      <c r="B336" s="7"/>
      <c r="M336" s="7"/>
    </row>
    <row r="337">
      <c r="B337" s="7"/>
      <c r="M337" s="7"/>
    </row>
    <row r="338">
      <c r="B338" s="7"/>
      <c r="M338" s="7"/>
    </row>
    <row r="339">
      <c r="B339" s="7"/>
      <c r="M339" s="7"/>
    </row>
    <row r="340">
      <c r="B340" s="7"/>
      <c r="M340" s="7"/>
    </row>
    <row r="341">
      <c r="B341" s="7"/>
      <c r="M341" s="7"/>
    </row>
    <row r="342">
      <c r="B342" s="7"/>
      <c r="M342" s="7"/>
    </row>
    <row r="343">
      <c r="B343" s="7"/>
      <c r="M343" s="7"/>
    </row>
    <row r="344">
      <c r="B344" s="7"/>
      <c r="M344" s="7"/>
    </row>
    <row r="345">
      <c r="B345" s="7"/>
      <c r="M345" s="7"/>
    </row>
    <row r="346">
      <c r="B346" s="7"/>
      <c r="M346" s="7"/>
    </row>
    <row r="347">
      <c r="B347" s="7"/>
      <c r="M347" s="7"/>
    </row>
    <row r="348">
      <c r="B348" s="7"/>
      <c r="M348" s="7"/>
    </row>
    <row r="349">
      <c r="B349" s="7"/>
      <c r="M349" s="7"/>
    </row>
    <row r="350">
      <c r="B350" s="7"/>
      <c r="M350" s="7"/>
    </row>
    <row r="351">
      <c r="B351" s="7"/>
      <c r="M351" s="7"/>
    </row>
    <row r="352">
      <c r="B352" s="7"/>
      <c r="M352" s="7"/>
    </row>
    <row r="353">
      <c r="B353" s="7"/>
      <c r="M353" s="7"/>
    </row>
    <row r="354">
      <c r="B354" s="7"/>
      <c r="M354" s="7"/>
    </row>
    <row r="355">
      <c r="B355" s="7"/>
      <c r="M355" s="7"/>
    </row>
    <row r="356">
      <c r="B356" s="7"/>
      <c r="M356" s="7"/>
    </row>
    <row r="357">
      <c r="B357" s="7"/>
      <c r="M357" s="7"/>
    </row>
    <row r="358">
      <c r="B358" s="7"/>
      <c r="M358" s="7"/>
    </row>
    <row r="359">
      <c r="B359" s="7"/>
      <c r="M359" s="7"/>
    </row>
    <row r="360">
      <c r="B360" s="7"/>
      <c r="M360" s="7"/>
    </row>
    <row r="361">
      <c r="B361" s="7"/>
      <c r="M361" s="7"/>
    </row>
    <row r="362">
      <c r="B362" s="7"/>
      <c r="M362" s="7"/>
    </row>
    <row r="363">
      <c r="B363" s="7"/>
      <c r="M363" s="7"/>
    </row>
    <row r="364">
      <c r="B364" s="7"/>
      <c r="M364" s="7"/>
    </row>
    <row r="365">
      <c r="B365" s="7"/>
      <c r="M365" s="7"/>
    </row>
    <row r="366">
      <c r="B366" s="7"/>
      <c r="M366" s="7"/>
    </row>
    <row r="367">
      <c r="B367" s="7"/>
      <c r="M367" s="7"/>
    </row>
    <row r="368">
      <c r="B368" s="7"/>
      <c r="M368" s="7"/>
    </row>
    <row r="369">
      <c r="B369" s="7"/>
      <c r="M369" s="7"/>
    </row>
    <row r="370">
      <c r="B370" s="7"/>
      <c r="M370" s="7"/>
    </row>
    <row r="371">
      <c r="B371" s="7"/>
      <c r="M371" s="7"/>
    </row>
    <row r="372">
      <c r="B372" s="7"/>
      <c r="M372" s="7"/>
    </row>
    <row r="373">
      <c r="B373" s="7"/>
      <c r="M373" s="7"/>
    </row>
    <row r="374">
      <c r="B374" s="7"/>
      <c r="M374" s="7"/>
    </row>
    <row r="375">
      <c r="B375" s="7"/>
      <c r="M375" s="7"/>
    </row>
    <row r="376">
      <c r="B376" s="7"/>
      <c r="M376" s="7"/>
    </row>
    <row r="377">
      <c r="B377" s="7"/>
      <c r="M377" s="7"/>
    </row>
    <row r="378">
      <c r="B378" s="7"/>
      <c r="M378" s="7"/>
    </row>
    <row r="379">
      <c r="B379" s="7"/>
      <c r="M379" s="7"/>
    </row>
    <row r="380">
      <c r="B380" s="7"/>
      <c r="M380" s="7"/>
    </row>
    <row r="381">
      <c r="B381" s="7"/>
      <c r="M381" s="7"/>
    </row>
    <row r="382">
      <c r="B382" s="7"/>
      <c r="M382" s="7"/>
    </row>
    <row r="383">
      <c r="B383" s="7"/>
      <c r="M383" s="7"/>
    </row>
    <row r="384">
      <c r="B384" s="7"/>
      <c r="M384" s="7"/>
    </row>
    <row r="385">
      <c r="B385" s="7"/>
      <c r="M385" s="7"/>
    </row>
    <row r="386">
      <c r="B386" s="7"/>
      <c r="M386" s="7"/>
    </row>
    <row r="387">
      <c r="B387" s="7"/>
      <c r="M387" s="7"/>
    </row>
    <row r="388">
      <c r="B388" s="7"/>
      <c r="M388" s="7"/>
    </row>
    <row r="389">
      <c r="B389" s="7"/>
      <c r="M389" s="7"/>
    </row>
    <row r="390">
      <c r="B390" s="7"/>
      <c r="M390" s="7"/>
    </row>
    <row r="391">
      <c r="B391" s="7"/>
      <c r="M391" s="7"/>
    </row>
    <row r="392">
      <c r="B392" s="7"/>
      <c r="M392" s="7"/>
    </row>
    <row r="393">
      <c r="B393" s="7"/>
      <c r="M393" s="7"/>
    </row>
    <row r="394">
      <c r="B394" s="7"/>
      <c r="M394" s="7"/>
    </row>
    <row r="395">
      <c r="B395" s="7"/>
      <c r="M395" s="7"/>
    </row>
    <row r="396">
      <c r="B396" s="7"/>
      <c r="M396" s="7"/>
    </row>
    <row r="397">
      <c r="B397" s="7"/>
      <c r="M397" s="7"/>
    </row>
    <row r="398">
      <c r="B398" s="7"/>
      <c r="M398" s="7"/>
    </row>
    <row r="399">
      <c r="B399" s="7"/>
      <c r="M399" s="7"/>
    </row>
    <row r="400">
      <c r="B400" s="7"/>
      <c r="M400" s="7"/>
    </row>
    <row r="401">
      <c r="B401" s="7"/>
      <c r="M401" s="7"/>
    </row>
    <row r="402">
      <c r="B402" s="7"/>
      <c r="M402" s="7"/>
    </row>
    <row r="403">
      <c r="B403" s="7"/>
      <c r="M403" s="7"/>
    </row>
    <row r="404">
      <c r="B404" s="7"/>
      <c r="M404" s="7"/>
    </row>
    <row r="405">
      <c r="B405" s="7"/>
      <c r="M405" s="7"/>
    </row>
    <row r="406">
      <c r="B406" s="7"/>
      <c r="M406" s="7"/>
    </row>
    <row r="407">
      <c r="B407" s="7"/>
      <c r="M407" s="7"/>
    </row>
    <row r="408">
      <c r="B408" s="7"/>
      <c r="M408" s="7"/>
    </row>
    <row r="409">
      <c r="B409" s="7"/>
      <c r="M409" s="7"/>
    </row>
    <row r="410">
      <c r="B410" s="7"/>
      <c r="M410" s="7"/>
    </row>
    <row r="411">
      <c r="B411" s="7"/>
      <c r="M411" s="7"/>
    </row>
    <row r="412">
      <c r="B412" s="7"/>
      <c r="M412" s="7"/>
    </row>
    <row r="413">
      <c r="B413" s="7"/>
      <c r="M413" s="7"/>
    </row>
    <row r="414">
      <c r="B414" s="7"/>
      <c r="M414" s="7"/>
    </row>
    <row r="415">
      <c r="B415" s="7"/>
      <c r="M415" s="7"/>
    </row>
    <row r="416">
      <c r="B416" s="7"/>
      <c r="M416" s="7"/>
    </row>
    <row r="417">
      <c r="B417" s="7"/>
      <c r="M417" s="7"/>
    </row>
    <row r="418">
      <c r="B418" s="7"/>
      <c r="M418" s="7"/>
    </row>
    <row r="419">
      <c r="B419" s="7"/>
      <c r="M419" s="7"/>
    </row>
    <row r="420">
      <c r="B420" s="7"/>
      <c r="M420" s="7"/>
    </row>
    <row r="421">
      <c r="B421" s="7"/>
      <c r="M421" s="7"/>
    </row>
    <row r="422">
      <c r="B422" s="7"/>
      <c r="M422" s="7"/>
    </row>
    <row r="423">
      <c r="B423" s="7"/>
      <c r="M423" s="7"/>
    </row>
    <row r="424">
      <c r="B424" s="7"/>
      <c r="M424" s="7"/>
    </row>
    <row r="425">
      <c r="B425" s="7"/>
      <c r="M425" s="7"/>
    </row>
    <row r="426">
      <c r="B426" s="7"/>
      <c r="M426" s="7"/>
    </row>
    <row r="427">
      <c r="B427" s="7"/>
      <c r="M427" s="7"/>
    </row>
    <row r="428">
      <c r="B428" s="7"/>
      <c r="M428" s="7"/>
    </row>
    <row r="429">
      <c r="B429" s="7"/>
      <c r="M429" s="7"/>
    </row>
    <row r="430">
      <c r="B430" s="7"/>
      <c r="M430" s="7"/>
    </row>
    <row r="431">
      <c r="B431" s="7"/>
      <c r="M431" s="7"/>
    </row>
    <row r="432">
      <c r="B432" s="7"/>
      <c r="M432" s="7"/>
    </row>
    <row r="433">
      <c r="B433" s="7"/>
      <c r="M433" s="7"/>
    </row>
    <row r="434">
      <c r="B434" s="7"/>
      <c r="M434" s="7"/>
    </row>
    <row r="435">
      <c r="B435" s="7"/>
      <c r="M435" s="7"/>
    </row>
    <row r="436">
      <c r="B436" s="7"/>
      <c r="M436" s="7"/>
    </row>
    <row r="437">
      <c r="B437" s="7"/>
      <c r="M437" s="7"/>
    </row>
    <row r="438">
      <c r="B438" s="7"/>
      <c r="M438" s="7"/>
    </row>
    <row r="439">
      <c r="B439" s="7"/>
      <c r="M439" s="7"/>
    </row>
    <row r="440">
      <c r="B440" s="7"/>
      <c r="M440" s="7"/>
    </row>
    <row r="441">
      <c r="B441" s="7"/>
      <c r="M441" s="7"/>
    </row>
    <row r="442">
      <c r="B442" s="7"/>
      <c r="M442" s="7"/>
    </row>
    <row r="443">
      <c r="B443" s="7"/>
      <c r="M443" s="7"/>
    </row>
    <row r="444">
      <c r="B444" s="7"/>
      <c r="M444" s="7"/>
    </row>
    <row r="445">
      <c r="B445" s="7"/>
      <c r="M445" s="7"/>
    </row>
    <row r="446">
      <c r="B446" s="7"/>
      <c r="M446" s="7"/>
    </row>
    <row r="447">
      <c r="B447" s="7"/>
      <c r="M447" s="7"/>
    </row>
    <row r="448">
      <c r="B448" s="7"/>
      <c r="M448" s="7"/>
    </row>
    <row r="449">
      <c r="B449" s="7"/>
      <c r="M449" s="7"/>
    </row>
    <row r="450">
      <c r="B450" s="7"/>
      <c r="M450" s="7"/>
    </row>
    <row r="451">
      <c r="B451" s="7"/>
      <c r="M451" s="7"/>
    </row>
    <row r="452">
      <c r="B452" s="7"/>
      <c r="M452" s="7"/>
    </row>
    <row r="453">
      <c r="B453" s="7"/>
      <c r="M453" s="7"/>
    </row>
    <row r="454">
      <c r="B454" s="7"/>
      <c r="M454" s="7"/>
    </row>
    <row r="455">
      <c r="B455" s="7"/>
      <c r="M455" s="7"/>
    </row>
    <row r="456">
      <c r="B456" s="7"/>
      <c r="M456" s="7"/>
    </row>
    <row r="457">
      <c r="B457" s="7"/>
      <c r="M457" s="7"/>
    </row>
    <row r="458">
      <c r="B458" s="7"/>
      <c r="M458" s="7"/>
    </row>
    <row r="459">
      <c r="B459" s="7"/>
      <c r="M459" s="7"/>
    </row>
    <row r="460">
      <c r="B460" s="7"/>
      <c r="M460" s="7"/>
    </row>
    <row r="461">
      <c r="B461" s="7"/>
      <c r="M461" s="7"/>
    </row>
    <row r="462">
      <c r="B462" s="7"/>
      <c r="M462" s="7"/>
    </row>
    <row r="463">
      <c r="B463" s="7"/>
      <c r="M463" s="7"/>
    </row>
    <row r="464">
      <c r="B464" s="7"/>
      <c r="M464" s="7"/>
    </row>
    <row r="465">
      <c r="B465" s="7"/>
      <c r="M465" s="7"/>
    </row>
    <row r="466">
      <c r="B466" s="7"/>
      <c r="M466" s="7"/>
    </row>
    <row r="467">
      <c r="B467" s="7"/>
      <c r="M467" s="7"/>
    </row>
    <row r="468">
      <c r="B468" s="7"/>
      <c r="M468" s="7"/>
    </row>
    <row r="469">
      <c r="B469" s="7"/>
      <c r="M469" s="7"/>
    </row>
    <row r="470">
      <c r="B470" s="7"/>
      <c r="M470" s="7"/>
    </row>
    <row r="471">
      <c r="B471" s="7"/>
      <c r="M471" s="7"/>
    </row>
    <row r="472">
      <c r="B472" s="7"/>
      <c r="M472" s="7"/>
    </row>
    <row r="473">
      <c r="B473" s="7"/>
      <c r="M473" s="7"/>
    </row>
    <row r="474">
      <c r="B474" s="7"/>
      <c r="M474" s="7"/>
    </row>
    <row r="475">
      <c r="B475" s="7"/>
      <c r="M475" s="7"/>
    </row>
    <row r="476">
      <c r="B476" s="7"/>
      <c r="M476" s="7"/>
    </row>
    <row r="477">
      <c r="B477" s="7"/>
      <c r="M477" s="7"/>
    </row>
    <row r="478">
      <c r="B478" s="7"/>
      <c r="M478" s="7"/>
    </row>
    <row r="479">
      <c r="B479" s="7"/>
      <c r="M479" s="7"/>
    </row>
    <row r="480">
      <c r="B480" s="7"/>
      <c r="M480" s="7"/>
    </row>
    <row r="481">
      <c r="B481" s="7"/>
      <c r="M481" s="7"/>
    </row>
    <row r="482">
      <c r="B482" s="7"/>
      <c r="M482" s="7"/>
    </row>
    <row r="483">
      <c r="B483" s="7"/>
      <c r="M483" s="7"/>
    </row>
    <row r="484">
      <c r="B484" s="7"/>
      <c r="M484" s="7"/>
    </row>
    <row r="485">
      <c r="B485" s="7"/>
      <c r="M485" s="7"/>
    </row>
    <row r="486">
      <c r="B486" s="7"/>
      <c r="M486" s="7"/>
    </row>
    <row r="487">
      <c r="B487" s="7"/>
      <c r="M487" s="7"/>
    </row>
    <row r="488">
      <c r="B488" s="7"/>
      <c r="M488" s="7"/>
    </row>
    <row r="489">
      <c r="B489" s="7"/>
      <c r="M489" s="7"/>
    </row>
    <row r="490">
      <c r="B490" s="7"/>
      <c r="M490" s="7"/>
    </row>
    <row r="491">
      <c r="B491" s="7"/>
      <c r="M491" s="7"/>
    </row>
    <row r="492">
      <c r="B492" s="7"/>
      <c r="M492" s="7"/>
    </row>
    <row r="493">
      <c r="B493" s="7"/>
      <c r="M493" s="7"/>
    </row>
    <row r="494">
      <c r="B494" s="7"/>
      <c r="M494" s="7"/>
    </row>
    <row r="495">
      <c r="B495" s="7"/>
      <c r="M495" s="7"/>
    </row>
    <row r="496">
      <c r="B496" s="7"/>
      <c r="M496" s="7"/>
    </row>
    <row r="497">
      <c r="B497" s="7"/>
      <c r="M497" s="7"/>
    </row>
    <row r="498">
      <c r="B498" s="7"/>
      <c r="M498" s="7"/>
    </row>
    <row r="499">
      <c r="B499" s="7"/>
      <c r="M499" s="7"/>
    </row>
    <row r="500">
      <c r="B500" s="7"/>
      <c r="M500" s="7"/>
    </row>
    <row r="501">
      <c r="B501" s="7"/>
      <c r="M501" s="7"/>
    </row>
    <row r="502">
      <c r="B502" s="7"/>
      <c r="M502" s="7"/>
    </row>
    <row r="503">
      <c r="B503" s="7"/>
      <c r="M503" s="7"/>
    </row>
    <row r="504">
      <c r="B504" s="7"/>
      <c r="M504" s="7"/>
    </row>
    <row r="505">
      <c r="B505" s="7"/>
      <c r="M505" s="7"/>
    </row>
    <row r="506">
      <c r="B506" s="7"/>
      <c r="M506" s="7"/>
    </row>
    <row r="507">
      <c r="B507" s="7"/>
      <c r="M507" s="7"/>
    </row>
    <row r="508">
      <c r="B508" s="7"/>
      <c r="M508" s="7"/>
    </row>
    <row r="509">
      <c r="B509" s="7"/>
      <c r="M509" s="7"/>
    </row>
    <row r="510">
      <c r="B510" s="7"/>
      <c r="M510" s="7"/>
    </row>
    <row r="511">
      <c r="B511" s="7"/>
      <c r="M511" s="7"/>
    </row>
    <row r="512">
      <c r="B512" s="7"/>
      <c r="M512" s="7"/>
    </row>
    <row r="513">
      <c r="B513" s="7"/>
      <c r="M513" s="7"/>
    </row>
    <row r="514">
      <c r="B514" s="7"/>
      <c r="M514" s="7"/>
    </row>
    <row r="515">
      <c r="B515" s="7"/>
      <c r="M515" s="7"/>
    </row>
    <row r="516">
      <c r="B516" s="7"/>
      <c r="M516" s="7"/>
    </row>
    <row r="517">
      <c r="B517" s="7"/>
      <c r="M517" s="7"/>
    </row>
    <row r="518">
      <c r="B518" s="7"/>
      <c r="M518" s="7"/>
    </row>
    <row r="519">
      <c r="B519" s="7"/>
      <c r="M519" s="7"/>
    </row>
    <row r="520">
      <c r="B520" s="7"/>
      <c r="M520" s="7"/>
    </row>
    <row r="521">
      <c r="B521" s="7"/>
      <c r="M521" s="7"/>
    </row>
    <row r="522">
      <c r="B522" s="7"/>
      <c r="M522" s="7"/>
    </row>
    <row r="523">
      <c r="B523" s="7"/>
      <c r="M523" s="7"/>
    </row>
    <row r="524">
      <c r="B524" s="7"/>
      <c r="M524" s="7"/>
    </row>
    <row r="525">
      <c r="B525" s="7"/>
      <c r="M525" s="7"/>
    </row>
    <row r="526">
      <c r="B526" s="7"/>
      <c r="M526" s="7"/>
    </row>
    <row r="527">
      <c r="B527" s="7"/>
      <c r="M527" s="7"/>
    </row>
    <row r="528">
      <c r="B528" s="7"/>
      <c r="M528" s="7"/>
    </row>
    <row r="529">
      <c r="B529" s="7"/>
      <c r="M529" s="7"/>
    </row>
    <row r="530">
      <c r="B530" s="7"/>
      <c r="M530" s="7"/>
    </row>
    <row r="531">
      <c r="B531" s="7"/>
      <c r="M531" s="7"/>
    </row>
    <row r="532">
      <c r="B532" s="7"/>
      <c r="M532" s="7"/>
    </row>
    <row r="533">
      <c r="B533" s="7"/>
      <c r="M533" s="7"/>
    </row>
    <row r="534">
      <c r="B534" s="7"/>
      <c r="M534" s="7"/>
    </row>
    <row r="535">
      <c r="B535" s="7"/>
      <c r="M535" s="7"/>
    </row>
    <row r="536">
      <c r="B536" s="7"/>
      <c r="M536" s="7"/>
    </row>
    <row r="537">
      <c r="B537" s="7"/>
      <c r="M537" s="7"/>
    </row>
    <row r="538">
      <c r="B538" s="7"/>
      <c r="M538" s="7"/>
    </row>
    <row r="539">
      <c r="B539" s="7"/>
      <c r="M539" s="7"/>
    </row>
    <row r="540">
      <c r="B540" s="7"/>
      <c r="M540" s="7"/>
    </row>
    <row r="541">
      <c r="B541" s="7"/>
      <c r="M541" s="7"/>
    </row>
    <row r="542">
      <c r="B542" s="7"/>
      <c r="M542" s="7"/>
    </row>
    <row r="543">
      <c r="B543" s="7"/>
      <c r="M543" s="7"/>
    </row>
    <row r="544">
      <c r="B544" s="7"/>
      <c r="M544" s="7"/>
    </row>
    <row r="545">
      <c r="B545" s="7"/>
      <c r="M545" s="7"/>
    </row>
    <row r="546">
      <c r="B546" s="7"/>
      <c r="M546" s="7"/>
    </row>
    <row r="547">
      <c r="B547" s="7"/>
      <c r="M547" s="7"/>
    </row>
    <row r="548">
      <c r="B548" s="7"/>
      <c r="M548" s="7"/>
    </row>
    <row r="549">
      <c r="B549" s="7"/>
      <c r="M549" s="7"/>
    </row>
    <row r="550">
      <c r="B550" s="7"/>
      <c r="M550" s="7"/>
    </row>
    <row r="551">
      <c r="B551" s="7"/>
      <c r="M551" s="7"/>
    </row>
    <row r="552">
      <c r="B552" s="7"/>
      <c r="M552" s="7"/>
    </row>
    <row r="553">
      <c r="B553" s="7"/>
      <c r="M553" s="7"/>
    </row>
    <row r="554">
      <c r="B554" s="7"/>
      <c r="M554" s="7"/>
    </row>
    <row r="555">
      <c r="B555" s="7"/>
      <c r="M555" s="7"/>
    </row>
    <row r="556">
      <c r="B556" s="7"/>
      <c r="M556" s="7"/>
    </row>
    <row r="557">
      <c r="B557" s="7"/>
      <c r="M557" s="7"/>
    </row>
    <row r="558">
      <c r="B558" s="7"/>
      <c r="M558" s="7"/>
    </row>
    <row r="559">
      <c r="B559" s="7"/>
      <c r="M559" s="7"/>
    </row>
    <row r="560">
      <c r="B560" s="7"/>
      <c r="M560" s="7"/>
    </row>
    <row r="561">
      <c r="B561" s="7"/>
      <c r="M561" s="7"/>
    </row>
    <row r="562">
      <c r="B562" s="7"/>
      <c r="M562" s="7"/>
    </row>
    <row r="563">
      <c r="B563" s="7"/>
      <c r="M563" s="7"/>
    </row>
    <row r="564">
      <c r="B564" s="7"/>
      <c r="M564" s="7"/>
    </row>
    <row r="565">
      <c r="B565" s="7"/>
      <c r="M565" s="7"/>
    </row>
    <row r="566">
      <c r="B566" s="7"/>
      <c r="M566" s="7"/>
    </row>
    <row r="567">
      <c r="B567" s="7"/>
      <c r="M567" s="7"/>
    </row>
    <row r="568">
      <c r="B568" s="7"/>
      <c r="M568" s="7"/>
    </row>
    <row r="569">
      <c r="B569" s="7"/>
      <c r="M569" s="7"/>
    </row>
    <row r="570">
      <c r="B570" s="7"/>
      <c r="M570" s="7"/>
    </row>
    <row r="571">
      <c r="B571" s="7"/>
      <c r="M571" s="7"/>
    </row>
    <row r="572">
      <c r="B572" s="7"/>
      <c r="M572" s="7"/>
    </row>
    <row r="573">
      <c r="B573" s="7"/>
      <c r="M573" s="7"/>
    </row>
    <row r="574">
      <c r="B574" s="7"/>
      <c r="M574" s="7"/>
    </row>
    <row r="575">
      <c r="B575" s="7"/>
      <c r="M575" s="7"/>
    </row>
    <row r="576">
      <c r="B576" s="7"/>
      <c r="M576" s="7"/>
    </row>
    <row r="577">
      <c r="B577" s="7"/>
      <c r="M577" s="7"/>
    </row>
    <row r="578">
      <c r="B578" s="7"/>
      <c r="M578" s="7"/>
    </row>
    <row r="579">
      <c r="B579" s="7"/>
      <c r="M579" s="7"/>
    </row>
    <row r="580">
      <c r="B580" s="7"/>
      <c r="M580" s="7"/>
    </row>
    <row r="581">
      <c r="B581" s="7"/>
      <c r="M581" s="7"/>
    </row>
    <row r="582">
      <c r="B582" s="7"/>
      <c r="M582" s="7"/>
    </row>
    <row r="583">
      <c r="B583" s="7"/>
      <c r="M583" s="7"/>
    </row>
    <row r="584">
      <c r="B584" s="7"/>
      <c r="M584" s="7"/>
    </row>
    <row r="585">
      <c r="B585" s="7"/>
      <c r="M585" s="7"/>
    </row>
    <row r="586">
      <c r="B586" s="7"/>
      <c r="M586" s="7"/>
    </row>
    <row r="587">
      <c r="B587" s="7"/>
      <c r="M587" s="7"/>
    </row>
    <row r="588">
      <c r="B588" s="7"/>
      <c r="M588" s="7"/>
    </row>
    <row r="589">
      <c r="B589" s="7"/>
      <c r="M589" s="7"/>
    </row>
    <row r="590">
      <c r="B590" s="7"/>
      <c r="M590" s="7"/>
    </row>
    <row r="591">
      <c r="B591" s="7"/>
      <c r="M591" s="7"/>
    </row>
    <row r="592">
      <c r="B592" s="7"/>
      <c r="M592" s="7"/>
    </row>
    <row r="593">
      <c r="B593" s="7"/>
      <c r="M593" s="7"/>
    </row>
    <row r="594">
      <c r="B594" s="7"/>
      <c r="M594" s="7"/>
    </row>
    <row r="595">
      <c r="B595" s="7"/>
      <c r="M595" s="7"/>
    </row>
    <row r="596">
      <c r="B596" s="7"/>
      <c r="M596" s="7"/>
    </row>
    <row r="597">
      <c r="B597" s="7"/>
      <c r="M597" s="7"/>
    </row>
    <row r="598">
      <c r="B598" s="7"/>
      <c r="M598" s="7"/>
    </row>
    <row r="599">
      <c r="B599" s="7"/>
      <c r="M599" s="7"/>
    </row>
    <row r="600">
      <c r="B600" s="7"/>
      <c r="M600" s="7"/>
    </row>
    <row r="601">
      <c r="B601" s="7"/>
      <c r="M601" s="7"/>
    </row>
    <row r="602">
      <c r="B602" s="7"/>
      <c r="M602" s="7"/>
    </row>
    <row r="603">
      <c r="B603" s="7"/>
      <c r="M603" s="7"/>
    </row>
    <row r="604">
      <c r="B604" s="7"/>
      <c r="M604" s="7"/>
    </row>
    <row r="605">
      <c r="B605" s="7"/>
      <c r="M605" s="7"/>
    </row>
    <row r="606">
      <c r="B606" s="7"/>
      <c r="M606" s="7"/>
    </row>
    <row r="607">
      <c r="B607" s="7"/>
      <c r="M607" s="7"/>
    </row>
    <row r="608">
      <c r="B608" s="7"/>
      <c r="M608" s="7"/>
    </row>
    <row r="609">
      <c r="B609" s="7"/>
      <c r="M609" s="7"/>
    </row>
    <row r="610">
      <c r="B610" s="7"/>
      <c r="M610" s="7"/>
    </row>
    <row r="611">
      <c r="B611" s="7"/>
      <c r="M611" s="7"/>
    </row>
    <row r="612">
      <c r="B612" s="7"/>
      <c r="M612" s="7"/>
    </row>
    <row r="613">
      <c r="B613" s="7"/>
      <c r="M613" s="7"/>
    </row>
    <row r="614">
      <c r="B614" s="7"/>
      <c r="M614" s="7"/>
    </row>
    <row r="615">
      <c r="B615" s="7"/>
      <c r="M615" s="7"/>
    </row>
    <row r="616">
      <c r="B616" s="7"/>
      <c r="M616" s="7"/>
    </row>
    <row r="617">
      <c r="B617" s="7"/>
      <c r="M617" s="7"/>
    </row>
    <row r="618">
      <c r="B618" s="7"/>
      <c r="M618" s="7"/>
    </row>
    <row r="619">
      <c r="B619" s="7"/>
      <c r="M619" s="7"/>
    </row>
    <row r="620">
      <c r="B620" s="7"/>
      <c r="M620" s="7"/>
    </row>
    <row r="621">
      <c r="B621" s="7"/>
      <c r="M621" s="7"/>
    </row>
    <row r="622">
      <c r="B622" s="7"/>
      <c r="M622" s="7"/>
    </row>
    <row r="623">
      <c r="B623" s="7"/>
      <c r="M623" s="7"/>
    </row>
    <row r="624">
      <c r="B624" s="7"/>
      <c r="M624" s="7"/>
    </row>
    <row r="625">
      <c r="B625" s="7"/>
      <c r="M625" s="7"/>
    </row>
    <row r="626">
      <c r="B626" s="7"/>
      <c r="M626" s="7"/>
    </row>
    <row r="627">
      <c r="B627" s="7"/>
      <c r="M627" s="7"/>
    </row>
    <row r="628">
      <c r="B628" s="7"/>
      <c r="M628" s="7"/>
    </row>
    <row r="629">
      <c r="B629" s="7"/>
      <c r="M629" s="7"/>
    </row>
    <row r="630">
      <c r="B630" s="7"/>
      <c r="M630" s="7"/>
    </row>
    <row r="631">
      <c r="B631" s="7"/>
      <c r="M631" s="7"/>
    </row>
    <row r="632">
      <c r="B632" s="7"/>
      <c r="M632" s="7"/>
    </row>
    <row r="633">
      <c r="B633" s="7"/>
      <c r="M633" s="7"/>
    </row>
    <row r="634">
      <c r="B634" s="7"/>
      <c r="M634" s="7"/>
    </row>
    <row r="635">
      <c r="B635" s="7"/>
      <c r="M635" s="7"/>
    </row>
    <row r="636">
      <c r="B636" s="7"/>
      <c r="M636" s="7"/>
    </row>
    <row r="637">
      <c r="B637" s="7"/>
      <c r="M637" s="7"/>
    </row>
    <row r="638">
      <c r="B638" s="7"/>
      <c r="M638" s="7"/>
    </row>
    <row r="639">
      <c r="B639" s="7"/>
      <c r="M639" s="7"/>
    </row>
    <row r="640">
      <c r="B640" s="7"/>
      <c r="M640" s="7"/>
    </row>
    <row r="641">
      <c r="B641" s="7"/>
      <c r="M641" s="7"/>
    </row>
    <row r="642">
      <c r="B642" s="7"/>
      <c r="M642" s="7"/>
    </row>
    <row r="643">
      <c r="B643" s="7"/>
      <c r="M643" s="7"/>
    </row>
    <row r="644">
      <c r="B644" s="7"/>
      <c r="M644" s="7"/>
    </row>
    <row r="645">
      <c r="B645" s="7"/>
      <c r="M645" s="7"/>
    </row>
    <row r="646">
      <c r="B646" s="7"/>
      <c r="M646" s="7"/>
    </row>
    <row r="647">
      <c r="B647" s="7"/>
      <c r="M647" s="7"/>
    </row>
    <row r="648">
      <c r="B648" s="7"/>
      <c r="M648" s="7"/>
    </row>
    <row r="649">
      <c r="B649" s="7"/>
      <c r="M649" s="7"/>
    </row>
    <row r="650">
      <c r="B650" s="7"/>
      <c r="M650" s="7"/>
    </row>
    <row r="651">
      <c r="B651" s="7"/>
      <c r="M651" s="7"/>
    </row>
    <row r="652">
      <c r="B652" s="7"/>
      <c r="M652" s="7"/>
    </row>
    <row r="653">
      <c r="B653" s="7"/>
      <c r="M653" s="7"/>
    </row>
    <row r="654">
      <c r="B654" s="7"/>
      <c r="M654" s="7"/>
    </row>
    <row r="655">
      <c r="B655" s="7"/>
      <c r="M655" s="7"/>
    </row>
    <row r="656">
      <c r="B656" s="7"/>
      <c r="M656" s="7"/>
    </row>
    <row r="657">
      <c r="B657" s="7"/>
      <c r="M657" s="7"/>
    </row>
    <row r="658">
      <c r="B658" s="7"/>
      <c r="M658" s="7"/>
    </row>
    <row r="659">
      <c r="B659" s="7"/>
      <c r="M659" s="7"/>
    </row>
    <row r="660">
      <c r="B660" s="7"/>
      <c r="M660" s="7"/>
    </row>
    <row r="661">
      <c r="B661" s="7"/>
      <c r="M661" s="7"/>
    </row>
    <row r="662">
      <c r="B662" s="7"/>
      <c r="M662" s="7"/>
    </row>
    <row r="663">
      <c r="B663" s="7"/>
      <c r="M663" s="7"/>
    </row>
    <row r="664">
      <c r="B664" s="7"/>
      <c r="M664" s="7"/>
    </row>
    <row r="665">
      <c r="B665" s="7"/>
      <c r="M665" s="7"/>
    </row>
    <row r="666">
      <c r="B666" s="7"/>
      <c r="M666" s="7"/>
    </row>
    <row r="667">
      <c r="B667" s="7"/>
      <c r="M667" s="7"/>
    </row>
    <row r="668">
      <c r="B668" s="7"/>
      <c r="M668" s="7"/>
    </row>
    <row r="669">
      <c r="B669" s="7"/>
      <c r="M669" s="7"/>
    </row>
    <row r="670">
      <c r="B670" s="7"/>
      <c r="M670" s="7"/>
    </row>
    <row r="671">
      <c r="B671" s="7"/>
      <c r="M671" s="7"/>
    </row>
    <row r="672">
      <c r="B672" s="7"/>
      <c r="M672" s="7"/>
    </row>
    <row r="673">
      <c r="B673" s="7"/>
      <c r="M673" s="7"/>
    </row>
    <row r="674">
      <c r="B674" s="7"/>
      <c r="M674" s="7"/>
    </row>
    <row r="675">
      <c r="B675" s="7"/>
      <c r="M675" s="7"/>
    </row>
    <row r="676">
      <c r="B676" s="7"/>
      <c r="M676" s="7"/>
    </row>
    <row r="677">
      <c r="B677" s="7"/>
      <c r="M677" s="7"/>
    </row>
    <row r="678">
      <c r="B678" s="7"/>
      <c r="M678" s="7"/>
    </row>
    <row r="679">
      <c r="B679" s="7"/>
      <c r="M679" s="7"/>
    </row>
    <row r="680">
      <c r="B680" s="7"/>
      <c r="M680" s="7"/>
    </row>
    <row r="681">
      <c r="B681" s="7"/>
      <c r="M681" s="7"/>
    </row>
    <row r="682">
      <c r="B682" s="7"/>
      <c r="M682" s="7"/>
    </row>
    <row r="683">
      <c r="B683" s="7"/>
      <c r="M683" s="7"/>
    </row>
    <row r="684">
      <c r="B684" s="7"/>
      <c r="M684" s="7"/>
    </row>
    <row r="685">
      <c r="B685" s="7"/>
      <c r="M685" s="7"/>
    </row>
    <row r="686">
      <c r="B686" s="7"/>
      <c r="M686" s="7"/>
    </row>
    <row r="687">
      <c r="B687" s="7"/>
      <c r="M687" s="7"/>
    </row>
    <row r="688">
      <c r="B688" s="7"/>
      <c r="M688" s="7"/>
    </row>
    <row r="689">
      <c r="B689" s="7"/>
      <c r="M689" s="7"/>
    </row>
    <row r="690">
      <c r="B690" s="7"/>
      <c r="M690" s="7"/>
    </row>
    <row r="691">
      <c r="B691" s="7"/>
      <c r="M691" s="7"/>
    </row>
    <row r="692">
      <c r="B692" s="7"/>
      <c r="M692" s="7"/>
    </row>
    <row r="693">
      <c r="B693" s="7"/>
      <c r="M693" s="7"/>
    </row>
    <row r="694">
      <c r="B694" s="7"/>
      <c r="M694" s="7"/>
    </row>
    <row r="695">
      <c r="B695" s="7"/>
      <c r="M695" s="7"/>
    </row>
    <row r="696">
      <c r="B696" s="7"/>
      <c r="M696" s="7"/>
    </row>
    <row r="697">
      <c r="B697" s="7"/>
      <c r="M697" s="7"/>
    </row>
    <row r="698">
      <c r="B698" s="7"/>
      <c r="M698" s="7"/>
    </row>
    <row r="699">
      <c r="B699" s="7"/>
      <c r="M699" s="7"/>
    </row>
    <row r="700">
      <c r="B700" s="7"/>
      <c r="M700" s="7"/>
    </row>
    <row r="701">
      <c r="B701" s="7"/>
      <c r="M701" s="7"/>
    </row>
    <row r="702">
      <c r="B702" s="7"/>
      <c r="M702" s="7"/>
    </row>
    <row r="703">
      <c r="B703" s="7"/>
      <c r="M703" s="7"/>
    </row>
    <row r="704">
      <c r="B704" s="7"/>
      <c r="M704" s="7"/>
    </row>
    <row r="705">
      <c r="B705" s="7"/>
      <c r="M705" s="7"/>
    </row>
    <row r="706">
      <c r="B706" s="7"/>
      <c r="M706" s="7"/>
    </row>
    <row r="707">
      <c r="B707" s="7"/>
      <c r="M707" s="7"/>
    </row>
    <row r="708">
      <c r="B708" s="7"/>
      <c r="M708" s="7"/>
    </row>
    <row r="709">
      <c r="B709" s="7"/>
      <c r="M709" s="7"/>
    </row>
    <row r="710">
      <c r="B710" s="7"/>
      <c r="M710" s="7"/>
    </row>
    <row r="711">
      <c r="B711" s="7"/>
      <c r="M711" s="7"/>
    </row>
    <row r="712">
      <c r="B712" s="7"/>
      <c r="M712" s="7"/>
    </row>
    <row r="713">
      <c r="B713" s="7"/>
      <c r="M713" s="7"/>
    </row>
    <row r="714">
      <c r="B714" s="7"/>
      <c r="M714" s="7"/>
    </row>
    <row r="715">
      <c r="B715" s="7"/>
      <c r="M715" s="7"/>
    </row>
    <row r="716">
      <c r="B716" s="7"/>
      <c r="M716" s="7"/>
    </row>
    <row r="717">
      <c r="B717" s="7"/>
      <c r="M717" s="7"/>
    </row>
    <row r="718">
      <c r="B718" s="7"/>
      <c r="M718" s="7"/>
    </row>
    <row r="719">
      <c r="B719" s="7"/>
      <c r="M719" s="7"/>
    </row>
    <row r="720">
      <c r="B720" s="7"/>
      <c r="M720" s="7"/>
    </row>
    <row r="721">
      <c r="B721" s="7"/>
      <c r="M721" s="7"/>
    </row>
    <row r="722">
      <c r="B722" s="7"/>
      <c r="M722" s="7"/>
    </row>
    <row r="723">
      <c r="B723" s="7"/>
      <c r="M723" s="7"/>
    </row>
    <row r="724">
      <c r="B724" s="7"/>
      <c r="M724" s="7"/>
    </row>
    <row r="725">
      <c r="B725" s="7"/>
      <c r="M725" s="7"/>
    </row>
    <row r="726">
      <c r="B726" s="7"/>
      <c r="M726" s="7"/>
    </row>
    <row r="727">
      <c r="B727" s="7"/>
      <c r="M727" s="7"/>
    </row>
    <row r="728">
      <c r="B728" s="7"/>
      <c r="M728" s="7"/>
    </row>
    <row r="729">
      <c r="B729" s="7"/>
      <c r="M729" s="7"/>
    </row>
    <row r="730">
      <c r="B730" s="7"/>
      <c r="M730" s="7"/>
    </row>
    <row r="731">
      <c r="B731" s="7"/>
      <c r="M731" s="7"/>
    </row>
    <row r="732">
      <c r="B732" s="7"/>
      <c r="M732" s="7"/>
    </row>
    <row r="733">
      <c r="B733" s="7"/>
      <c r="M733" s="7"/>
    </row>
    <row r="734">
      <c r="B734" s="7"/>
      <c r="M734" s="7"/>
    </row>
    <row r="735">
      <c r="B735" s="7"/>
      <c r="M735" s="7"/>
    </row>
    <row r="736">
      <c r="B736" s="7"/>
      <c r="M736" s="7"/>
    </row>
    <row r="737">
      <c r="B737" s="7"/>
      <c r="M737" s="7"/>
    </row>
    <row r="738">
      <c r="B738" s="7"/>
      <c r="M738" s="7"/>
    </row>
    <row r="739">
      <c r="B739" s="7"/>
      <c r="M739" s="7"/>
    </row>
    <row r="740">
      <c r="B740" s="7"/>
      <c r="M740" s="7"/>
    </row>
    <row r="741">
      <c r="B741" s="7"/>
      <c r="M741" s="7"/>
    </row>
    <row r="742">
      <c r="B742" s="7"/>
      <c r="M742" s="7"/>
    </row>
    <row r="743">
      <c r="B743" s="7"/>
      <c r="M743" s="7"/>
    </row>
    <row r="744">
      <c r="B744" s="7"/>
      <c r="M744" s="7"/>
    </row>
    <row r="745">
      <c r="B745" s="7"/>
      <c r="M745" s="7"/>
    </row>
    <row r="746">
      <c r="B746" s="7"/>
      <c r="M746" s="7"/>
    </row>
    <row r="747">
      <c r="B747" s="7"/>
      <c r="M747" s="7"/>
    </row>
    <row r="748">
      <c r="B748" s="7"/>
      <c r="M748" s="7"/>
    </row>
    <row r="749">
      <c r="B749" s="7"/>
      <c r="M749" s="7"/>
    </row>
    <row r="750">
      <c r="B750" s="7"/>
      <c r="M750" s="7"/>
    </row>
    <row r="751">
      <c r="B751" s="7"/>
      <c r="M751" s="7"/>
    </row>
    <row r="752">
      <c r="B752" s="7"/>
      <c r="M752" s="7"/>
    </row>
    <row r="753">
      <c r="B753" s="7"/>
      <c r="M753" s="7"/>
    </row>
    <row r="754">
      <c r="B754" s="7"/>
      <c r="M754" s="7"/>
    </row>
    <row r="755">
      <c r="B755" s="7"/>
      <c r="M755" s="7"/>
    </row>
    <row r="756">
      <c r="B756" s="7"/>
      <c r="M756" s="7"/>
    </row>
    <row r="757">
      <c r="B757" s="7"/>
      <c r="M757" s="7"/>
    </row>
    <row r="758">
      <c r="B758" s="7"/>
      <c r="M758" s="7"/>
    </row>
    <row r="759">
      <c r="B759" s="7"/>
      <c r="M759" s="7"/>
    </row>
    <row r="760">
      <c r="B760" s="7"/>
      <c r="M760" s="7"/>
    </row>
    <row r="761">
      <c r="B761" s="7"/>
      <c r="M761" s="7"/>
    </row>
    <row r="762">
      <c r="B762" s="7"/>
      <c r="M762" s="7"/>
    </row>
    <row r="763">
      <c r="B763" s="7"/>
      <c r="M763" s="7"/>
    </row>
    <row r="764">
      <c r="B764" s="7"/>
      <c r="M764" s="7"/>
    </row>
    <row r="765">
      <c r="B765" s="7"/>
      <c r="M765" s="7"/>
    </row>
    <row r="766">
      <c r="B766" s="7"/>
      <c r="M766" s="7"/>
    </row>
    <row r="767">
      <c r="B767" s="7"/>
      <c r="M767" s="7"/>
    </row>
    <row r="768">
      <c r="B768" s="7"/>
      <c r="M768" s="7"/>
    </row>
    <row r="769">
      <c r="B769" s="7"/>
      <c r="M769" s="7"/>
    </row>
    <row r="770">
      <c r="B770" s="7"/>
      <c r="M770" s="7"/>
    </row>
    <row r="771">
      <c r="B771" s="7"/>
      <c r="M771" s="7"/>
    </row>
    <row r="772">
      <c r="B772" s="7"/>
      <c r="M772" s="7"/>
    </row>
    <row r="773">
      <c r="B773" s="7"/>
      <c r="M773" s="7"/>
    </row>
    <row r="774">
      <c r="B774" s="7"/>
      <c r="M774" s="7"/>
    </row>
    <row r="775">
      <c r="B775" s="7"/>
      <c r="M775" s="7"/>
    </row>
    <row r="776">
      <c r="B776" s="7"/>
      <c r="M776" s="7"/>
    </row>
    <row r="777">
      <c r="B777" s="7"/>
      <c r="M777" s="7"/>
    </row>
    <row r="778">
      <c r="B778" s="7"/>
      <c r="M778" s="7"/>
    </row>
    <row r="779">
      <c r="B779" s="7"/>
      <c r="M779" s="7"/>
    </row>
    <row r="780">
      <c r="B780" s="7"/>
      <c r="M780" s="7"/>
    </row>
    <row r="781">
      <c r="B781" s="7"/>
      <c r="M781" s="7"/>
    </row>
    <row r="782">
      <c r="B782" s="7"/>
      <c r="M782" s="7"/>
    </row>
    <row r="783">
      <c r="B783" s="7"/>
      <c r="M783" s="7"/>
    </row>
    <row r="784">
      <c r="B784" s="7"/>
      <c r="M784" s="7"/>
    </row>
    <row r="785">
      <c r="B785" s="7"/>
      <c r="M785" s="7"/>
    </row>
    <row r="786">
      <c r="B786" s="7"/>
      <c r="M786" s="7"/>
    </row>
    <row r="787">
      <c r="B787" s="7"/>
      <c r="M787" s="7"/>
    </row>
    <row r="788">
      <c r="B788" s="7"/>
      <c r="M788" s="7"/>
    </row>
    <row r="789">
      <c r="B789" s="7"/>
      <c r="M789" s="7"/>
    </row>
    <row r="790">
      <c r="B790" s="7"/>
      <c r="M790" s="7"/>
    </row>
    <row r="791">
      <c r="B791" s="7"/>
      <c r="M791" s="7"/>
    </row>
    <row r="792">
      <c r="B792" s="7"/>
      <c r="M792" s="7"/>
    </row>
    <row r="793">
      <c r="B793" s="7"/>
      <c r="M793" s="7"/>
    </row>
    <row r="794">
      <c r="B794" s="7"/>
      <c r="M794" s="7"/>
    </row>
    <row r="795">
      <c r="B795" s="7"/>
      <c r="M795" s="7"/>
    </row>
    <row r="796">
      <c r="B796" s="7"/>
      <c r="M796" s="7"/>
    </row>
    <row r="797">
      <c r="B797" s="7"/>
      <c r="M797" s="7"/>
    </row>
    <row r="798">
      <c r="B798" s="7"/>
      <c r="M798" s="7"/>
    </row>
    <row r="799">
      <c r="B799" s="7"/>
      <c r="M799" s="7"/>
    </row>
    <row r="800">
      <c r="B800" s="7"/>
      <c r="M800" s="7"/>
    </row>
    <row r="801">
      <c r="B801" s="7"/>
      <c r="M801" s="7"/>
    </row>
    <row r="802">
      <c r="B802" s="7"/>
      <c r="M802" s="7"/>
    </row>
    <row r="803">
      <c r="B803" s="7"/>
      <c r="M803" s="7"/>
    </row>
    <row r="804">
      <c r="B804" s="7"/>
      <c r="M804" s="7"/>
    </row>
    <row r="805">
      <c r="B805" s="7"/>
      <c r="M805" s="7"/>
    </row>
    <row r="806">
      <c r="B806" s="7"/>
      <c r="M806" s="7"/>
    </row>
    <row r="807">
      <c r="B807" s="7"/>
      <c r="M807" s="7"/>
    </row>
    <row r="808">
      <c r="B808" s="7"/>
      <c r="M808" s="7"/>
    </row>
    <row r="809">
      <c r="B809" s="7"/>
      <c r="M809" s="7"/>
    </row>
    <row r="810">
      <c r="B810" s="7"/>
      <c r="M810" s="7"/>
    </row>
    <row r="811">
      <c r="B811" s="7"/>
      <c r="M811" s="7"/>
    </row>
    <row r="812">
      <c r="B812" s="7"/>
      <c r="M812" s="7"/>
    </row>
    <row r="813">
      <c r="B813" s="7"/>
      <c r="M813" s="7"/>
    </row>
    <row r="814">
      <c r="B814" s="7"/>
      <c r="M814" s="7"/>
    </row>
    <row r="815">
      <c r="B815" s="7"/>
      <c r="M815" s="7"/>
    </row>
    <row r="816">
      <c r="B816" s="7"/>
      <c r="M816" s="7"/>
    </row>
    <row r="817">
      <c r="B817" s="7"/>
      <c r="M817" s="7"/>
    </row>
    <row r="818">
      <c r="B818" s="7"/>
      <c r="M818" s="7"/>
    </row>
    <row r="819">
      <c r="B819" s="7"/>
      <c r="M819" s="7"/>
    </row>
    <row r="820">
      <c r="B820" s="7"/>
      <c r="M820" s="7"/>
    </row>
    <row r="821">
      <c r="B821" s="7"/>
      <c r="M821" s="7"/>
    </row>
    <row r="822">
      <c r="B822" s="7"/>
      <c r="M822" s="7"/>
    </row>
    <row r="823">
      <c r="B823" s="7"/>
      <c r="M823" s="7"/>
    </row>
    <row r="824">
      <c r="B824" s="7"/>
      <c r="M824" s="7"/>
    </row>
    <row r="825">
      <c r="B825" s="7"/>
      <c r="M825" s="7"/>
    </row>
    <row r="826">
      <c r="B826" s="7"/>
      <c r="M826" s="7"/>
    </row>
    <row r="827">
      <c r="B827" s="7"/>
      <c r="M827" s="7"/>
    </row>
    <row r="828">
      <c r="B828" s="7"/>
      <c r="M828" s="7"/>
    </row>
    <row r="829">
      <c r="B829" s="7"/>
      <c r="M829" s="7"/>
    </row>
    <row r="830">
      <c r="B830" s="7"/>
      <c r="M830" s="7"/>
    </row>
    <row r="831">
      <c r="B831" s="7"/>
      <c r="M831" s="7"/>
    </row>
    <row r="832">
      <c r="B832" s="7"/>
      <c r="M832" s="7"/>
    </row>
    <row r="833">
      <c r="B833" s="7"/>
      <c r="M833" s="7"/>
    </row>
    <row r="834">
      <c r="B834" s="7"/>
      <c r="M834" s="7"/>
    </row>
    <row r="835">
      <c r="B835" s="7"/>
      <c r="M835" s="7"/>
    </row>
    <row r="836">
      <c r="B836" s="7"/>
      <c r="M836" s="7"/>
    </row>
    <row r="837">
      <c r="B837" s="7"/>
      <c r="M837" s="7"/>
    </row>
    <row r="838">
      <c r="B838" s="7"/>
      <c r="M838" s="7"/>
    </row>
    <row r="839">
      <c r="B839" s="7"/>
      <c r="M839" s="7"/>
    </row>
    <row r="840">
      <c r="B840" s="7"/>
      <c r="M840" s="7"/>
    </row>
    <row r="841">
      <c r="B841" s="7"/>
      <c r="M841" s="7"/>
    </row>
    <row r="842">
      <c r="B842" s="7"/>
      <c r="M842" s="7"/>
    </row>
    <row r="843">
      <c r="B843" s="7"/>
      <c r="M843" s="7"/>
    </row>
    <row r="844">
      <c r="B844" s="7"/>
      <c r="M844" s="7"/>
    </row>
    <row r="845">
      <c r="B845" s="7"/>
      <c r="M845" s="7"/>
    </row>
    <row r="846">
      <c r="B846" s="7"/>
      <c r="M846" s="7"/>
    </row>
    <row r="847">
      <c r="B847" s="7"/>
      <c r="M847" s="7"/>
    </row>
    <row r="848">
      <c r="B848" s="7"/>
      <c r="M848" s="7"/>
    </row>
    <row r="849">
      <c r="B849" s="7"/>
      <c r="M849" s="7"/>
    </row>
    <row r="850">
      <c r="B850" s="7"/>
      <c r="M850" s="7"/>
    </row>
    <row r="851">
      <c r="B851" s="7"/>
      <c r="M851" s="7"/>
    </row>
    <row r="852">
      <c r="B852" s="7"/>
      <c r="M852" s="7"/>
    </row>
    <row r="853">
      <c r="B853" s="7"/>
      <c r="M853" s="7"/>
    </row>
    <row r="854">
      <c r="B854" s="7"/>
      <c r="M854" s="7"/>
    </row>
    <row r="855">
      <c r="B855" s="7"/>
      <c r="M855" s="7"/>
    </row>
    <row r="856">
      <c r="B856" s="7"/>
      <c r="M856" s="7"/>
    </row>
    <row r="857">
      <c r="B857" s="7"/>
      <c r="M857" s="7"/>
    </row>
    <row r="858">
      <c r="B858" s="7"/>
      <c r="M858" s="7"/>
    </row>
    <row r="859">
      <c r="B859" s="7"/>
      <c r="M859" s="7"/>
    </row>
    <row r="860">
      <c r="B860" s="7"/>
      <c r="M860" s="7"/>
    </row>
    <row r="861">
      <c r="B861" s="7"/>
      <c r="M861" s="7"/>
    </row>
    <row r="862">
      <c r="B862" s="7"/>
      <c r="M862" s="7"/>
    </row>
    <row r="863">
      <c r="B863" s="7"/>
      <c r="M863" s="7"/>
    </row>
    <row r="864">
      <c r="B864" s="7"/>
      <c r="M864" s="7"/>
    </row>
    <row r="865">
      <c r="B865" s="7"/>
      <c r="M865" s="7"/>
    </row>
    <row r="866">
      <c r="B866" s="7"/>
      <c r="M866" s="7"/>
    </row>
    <row r="867">
      <c r="B867" s="7"/>
      <c r="M867" s="7"/>
    </row>
    <row r="868">
      <c r="B868" s="7"/>
      <c r="M868" s="7"/>
    </row>
    <row r="869">
      <c r="B869" s="7"/>
      <c r="M869" s="7"/>
    </row>
    <row r="870">
      <c r="B870" s="7"/>
      <c r="M870" s="7"/>
    </row>
    <row r="871">
      <c r="B871" s="7"/>
      <c r="M871" s="7"/>
    </row>
    <row r="872">
      <c r="B872" s="7"/>
      <c r="M872" s="7"/>
    </row>
    <row r="873">
      <c r="B873" s="7"/>
      <c r="M873" s="7"/>
    </row>
    <row r="874">
      <c r="B874" s="7"/>
      <c r="M874" s="7"/>
    </row>
    <row r="875">
      <c r="B875" s="7"/>
      <c r="M875" s="7"/>
    </row>
    <row r="876">
      <c r="B876" s="7"/>
      <c r="M876" s="7"/>
    </row>
    <row r="877">
      <c r="B877" s="7"/>
      <c r="M877" s="7"/>
    </row>
    <row r="878">
      <c r="B878" s="7"/>
      <c r="M878" s="7"/>
    </row>
    <row r="879">
      <c r="B879" s="7"/>
      <c r="M879" s="7"/>
    </row>
    <row r="880">
      <c r="B880" s="7"/>
      <c r="M880" s="7"/>
    </row>
    <row r="881">
      <c r="B881" s="7"/>
      <c r="M881" s="7"/>
    </row>
    <row r="882">
      <c r="B882" s="7"/>
      <c r="M882" s="7"/>
    </row>
    <row r="883">
      <c r="B883" s="7"/>
      <c r="M883" s="7"/>
    </row>
    <row r="884">
      <c r="B884" s="7"/>
      <c r="M884" s="7"/>
    </row>
    <row r="885">
      <c r="B885" s="7"/>
      <c r="M885" s="7"/>
    </row>
    <row r="886">
      <c r="B886" s="7"/>
      <c r="M886" s="7"/>
    </row>
    <row r="887">
      <c r="B887" s="7"/>
      <c r="M887" s="7"/>
    </row>
    <row r="888">
      <c r="B888" s="7"/>
      <c r="M888" s="7"/>
    </row>
    <row r="889">
      <c r="B889" s="7"/>
      <c r="M889" s="7"/>
    </row>
    <row r="890">
      <c r="B890" s="7"/>
      <c r="M890" s="7"/>
    </row>
    <row r="891">
      <c r="B891" s="7"/>
      <c r="M891" s="7"/>
    </row>
    <row r="892">
      <c r="B892" s="7"/>
      <c r="M892" s="7"/>
    </row>
    <row r="893">
      <c r="B893" s="7"/>
      <c r="M893" s="7"/>
    </row>
    <row r="894">
      <c r="B894" s="7"/>
      <c r="M894" s="7"/>
    </row>
    <row r="895">
      <c r="B895" s="7"/>
      <c r="M895" s="7"/>
    </row>
    <row r="896">
      <c r="B896" s="7"/>
      <c r="M896" s="7"/>
    </row>
    <row r="897">
      <c r="B897" s="7"/>
      <c r="M897" s="7"/>
    </row>
    <row r="898">
      <c r="B898" s="7"/>
      <c r="M898" s="7"/>
    </row>
    <row r="899">
      <c r="B899" s="7"/>
      <c r="M899" s="7"/>
    </row>
    <row r="900">
      <c r="B900" s="7"/>
      <c r="M900" s="7"/>
    </row>
    <row r="901">
      <c r="B901" s="7"/>
      <c r="M901" s="7"/>
    </row>
    <row r="902">
      <c r="B902" s="7"/>
      <c r="M902" s="7"/>
    </row>
    <row r="903">
      <c r="B903" s="7"/>
      <c r="M903" s="7"/>
    </row>
    <row r="904">
      <c r="B904" s="7"/>
      <c r="M904" s="7"/>
    </row>
    <row r="905">
      <c r="B905" s="7"/>
      <c r="M905" s="7"/>
    </row>
    <row r="906">
      <c r="B906" s="7"/>
      <c r="M906" s="7"/>
    </row>
    <row r="907">
      <c r="B907" s="7"/>
      <c r="M907" s="7"/>
    </row>
    <row r="908">
      <c r="B908" s="7"/>
      <c r="M908" s="7"/>
    </row>
    <row r="909">
      <c r="B909" s="7"/>
      <c r="M909" s="7"/>
    </row>
    <row r="910">
      <c r="B910" s="7"/>
      <c r="M910" s="7"/>
    </row>
    <row r="911">
      <c r="B911" s="7"/>
      <c r="M911" s="7"/>
    </row>
    <row r="912">
      <c r="B912" s="7"/>
      <c r="M912" s="7"/>
    </row>
    <row r="913">
      <c r="B913" s="7"/>
      <c r="M913" s="7"/>
    </row>
    <row r="914">
      <c r="B914" s="7"/>
      <c r="M914" s="7"/>
    </row>
    <row r="915">
      <c r="B915" s="7"/>
      <c r="M915" s="7"/>
    </row>
    <row r="916">
      <c r="B916" s="7"/>
      <c r="M916" s="7"/>
    </row>
    <row r="917">
      <c r="B917" s="7"/>
      <c r="M917" s="7"/>
    </row>
    <row r="918">
      <c r="B918" s="7"/>
      <c r="M918" s="7"/>
    </row>
    <row r="919">
      <c r="B919" s="7"/>
      <c r="M919" s="7"/>
    </row>
    <row r="920">
      <c r="B920" s="7"/>
      <c r="M920" s="7"/>
    </row>
    <row r="921">
      <c r="B921" s="7"/>
      <c r="M921" s="7"/>
    </row>
    <row r="922">
      <c r="B922" s="7"/>
      <c r="M922" s="7"/>
    </row>
    <row r="923">
      <c r="B923" s="7"/>
      <c r="M923" s="7"/>
    </row>
    <row r="924">
      <c r="B924" s="7"/>
      <c r="M924" s="7"/>
    </row>
    <row r="925">
      <c r="B925" s="7"/>
      <c r="M925" s="7"/>
    </row>
    <row r="926">
      <c r="B926" s="7"/>
      <c r="M926" s="7"/>
    </row>
    <row r="927">
      <c r="B927" s="7"/>
      <c r="M927" s="7"/>
    </row>
    <row r="928">
      <c r="B928" s="7"/>
      <c r="M928" s="7"/>
    </row>
    <row r="929">
      <c r="B929" s="7"/>
      <c r="M929" s="7"/>
    </row>
    <row r="930">
      <c r="B930" s="7"/>
      <c r="M930" s="7"/>
    </row>
    <row r="931">
      <c r="B931" s="7"/>
      <c r="M931" s="7"/>
    </row>
    <row r="932">
      <c r="B932" s="7"/>
      <c r="M932" s="7"/>
    </row>
    <row r="933">
      <c r="B933" s="7"/>
      <c r="M933" s="7"/>
    </row>
    <row r="934">
      <c r="B934" s="7"/>
      <c r="M934" s="7"/>
    </row>
    <row r="935">
      <c r="B935" s="7"/>
      <c r="M935" s="7"/>
    </row>
    <row r="936">
      <c r="B936" s="7"/>
      <c r="M936" s="7"/>
    </row>
    <row r="937">
      <c r="B937" s="7"/>
      <c r="M937" s="7"/>
    </row>
    <row r="938">
      <c r="B938" s="7"/>
      <c r="M938" s="7"/>
    </row>
    <row r="939">
      <c r="B939" s="7"/>
      <c r="M939" s="7"/>
    </row>
    <row r="940">
      <c r="B940" s="7"/>
      <c r="M940" s="7"/>
    </row>
    <row r="941">
      <c r="B941" s="7"/>
      <c r="M941" s="7"/>
    </row>
    <row r="942">
      <c r="B942" s="7"/>
      <c r="M942" s="7"/>
    </row>
    <row r="943">
      <c r="B943" s="7"/>
      <c r="M943" s="7"/>
    </row>
    <row r="944">
      <c r="B944" s="7"/>
      <c r="M944" s="7"/>
    </row>
    <row r="945">
      <c r="B945" s="7"/>
      <c r="M945" s="7"/>
    </row>
    <row r="946">
      <c r="B946" s="7"/>
      <c r="M946" s="7"/>
    </row>
    <row r="947">
      <c r="B947" s="7"/>
      <c r="M947" s="7"/>
    </row>
    <row r="948">
      <c r="B948" s="7"/>
      <c r="M948" s="7"/>
    </row>
    <row r="949">
      <c r="B949" s="7"/>
      <c r="M949" s="7"/>
    </row>
    <row r="950">
      <c r="B950" s="7"/>
      <c r="M950" s="7"/>
    </row>
    <row r="951">
      <c r="B951" s="7"/>
      <c r="M951" s="7"/>
    </row>
    <row r="952">
      <c r="B952" s="7"/>
      <c r="M952" s="7"/>
    </row>
    <row r="953">
      <c r="B953" s="7"/>
      <c r="M953" s="7"/>
    </row>
    <row r="954">
      <c r="B954" s="7"/>
      <c r="M954" s="7"/>
    </row>
    <row r="955">
      <c r="B955" s="7"/>
      <c r="M955" s="7"/>
    </row>
    <row r="956">
      <c r="B956" s="7"/>
      <c r="M956" s="7"/>
    </row>
    <row r="957">
      <c r="B957" s="7"/>
      <c r="M957" s="7"/>
    </row>
    <row r="958">
      <c r="B958" s="7"/>
      <c r="M958" s="7"/>
    </row>
    <row r="959">
      <c r="B959" s="7"/>
      <c r="M959" s="7"/>
    </row>
    <row r="960">
      <c r="B960" s="7"/>
      <c r="M960" s="7"/>
    </row>
    <row r="961">
      <c r="B961" s="7"/>
      <c r="M961" s="7"/>
    </row>
    <row r="962">
      <c r="B962" s="7"/>
      <c r="M962" s="7"/>
    </row>
    <row r="963">
      <c r="B963" s="7"/>
      <c r="M963" s="7"/>
    </row>
    <row r="964">
      <c r="B964" s="7"/>
      <c r="M964" s="7"/>
    </row>
    <row r="965">
      <c r="B965" s="7"/>
      <c r="M965" s="7"/>
    </row>
    <row r="966">
      <c r="B966" s="7"/>
      <c r="M966" s="7"/>
    </row>
    <row r="967">
      <c r="B967" s="7"/>
      <c r="M967" s="7"/>
    </row>
    <row r="968">
      <c r="B968" s="7"/>
      <c r="M968" s="7"/>
    </row>
    <row r="969">
      <c r="B969" s="7"/>
      <c r="M969" s="7"/>
    </row>
    <row r="970">
      <c r="B970" s="7"/>
      <c r="M970" s="7"/>
    </row>
    <row r="971">
      <c r="B971" s="7"/>
      <c r="M971" s="7"/>
    </row>
    <row r="972">
      <c r="B972" s="7"/>
      <c r="M972" s="7"/>
    </row>
    <row r="973">
      <c r="B973" s="7"/>
      <c r="M973" s="7"/>
    </row>
    <row r="974">
      <c r="B974" s="7"/>
      <c r="M974" s="7"/>
    </row>
    <row r="975">
      <c r="B975" s="7"/>
      <c r="M975" s="7"/>
    </row>
    <row r="976">
      <c r="B976" s="7"/>
      <c r="M976" s="7"/>
    </row>
    <row r="977">
      <c r="B977" s="7"/>
      <c r="M977" s="7"/>
    </row>
    <row r="978">
      <c r="B978" s="7"/>
      <c r="M978" s="7"/>
    </row>
    <row r="979">
      <c r="B979" s="7"/>
      <c r="M979" s="7"/>
    </row>
    <row r="980">
      <c r="B980" s="7"/>
      <c r="M980" s="7"/>
    </row>
    <row r="981">
      <c r="B981" s="7"/>
      <c r="M981" s="7"/>
    </row>
    <row r="982">
      <c r="B982" s="7"/>
      <c r="M982" s="7"/>
    </row>
    <row r="983">
      <c r="B983" s="7"/>
      <c r="M983" s="7"/>
    </row>
    <row r="984">
      <c r="B984" s="7"/>
      <c r="M984" s="7"/>
    </row>
    <row r="985">
      <c r="B985" s="7"/>
      <c r="M985" s="7"/>
    </row>
    <row r="986">
      <c r="B986" s="7"/>
      <c r="M986" s="7"/>
    </row>
    <row r="987">
      <c r="B987" s="7"/>
      <c r="M987" s="7"/>
    </row>
    <row r="988">
      <c r="B988" s="7"/>
      <c r="M988" s="7"/>
    </row>
    <row r="989">
      <c r="B989" s="7"/>
      <c r="M989" s="7"/>
    </row>
    <row r="990">
      <c r="B990" s="7"/>
      <c r="M990" s="7"/>
    </row>
    <row r="991">
      <c r="B991" s="7"/>
      <c r="M991" s="7"/>
    </row>
    <row r="992">
      <c r="B992" s="7"/>
      <c r="M992" s="7"/>
    </row>
    <row r="993">
      <c r="B993" s="7"/>
      <c r="M993" s="7"/>
    </row>
    <row r="994">
      <c r="B994" s="7"/>
      <c r="M994" s="7"/>
    </row>
    <row r="995">
      <c r="B995" s="7"/>
      <c r="M995" s="7"/>
    </row>
    <row r="996">
      <c r="B996" s="7"/>
      <c r="M996" s="7"/>
    </row>
    <row r="997">
      <c r="B997" s="7"/>
      <c r="M997" s="7"/>
    </row>
    <row r="998">
      <c r="B998" s="7"/>
      <c r="M998" s="7"/>
    </row>
    <row r="999">
      <c r="B999" s="7"/>
      <c r="M999" s="7"/>
    </row>
    <row r="1000">
      <c r="B1000" s="7"/>
      <c r="M1000" s="7"/>
    </row>
  </sheetData>
  <autoFilter ref="$B$23:$N$45">
    <sortState ref="B23:N45">
      <sortCondition ref="B23:B45"/>
    </sortState>
  </autoFilter>
  <conditionalFormatting sqref="B1:B1000">
    <cfRule type="expression" dxfId="0" priority="1">
      <formula>COUNTIF(B:B,B:B)&gt;1</formula>
    </cfRule>
  </conditionalFormatting>
  <dataValidations>
    <dataValidation type="list" allowBlank="1" showErrorMessage="1" sqref="J24:J45 J55:J63 J83:J151">
      <formula1>'적 캐릭터 기획'!$G$16:$K$16</formula1>
    </dataValidation>
    <dataValidation type="list" allowBlank="1" showErrorMessage="1" sqref="I24:I45 I55:I63 I83:I151">
      <formula1>'적 캐릭터 기획'!$G$14:$K$14</formula1>
    </dataValidation>
    <dataValidation type="list" allowBlank="1" showErrorMessage="1" sqref="G24:G45 G55:G63 G83:G151">
      <formula1>'적 캐릭터 기획'!$G$10:$H$10</formula1>
    </dataValidation>
    <dataValidation type="list" allowBlank="1" showErrorMessage="1" sqref="F24:F45 F55:F63 F83:F151">
      <formula1>'적 캐릭터 기획'!$G$8:$I$8</formula1>
    </dataValidation>
    <dataValidation type="list" allowBlank="1" showErrorMessage="1" sqref="K24:K45 K55:K63 K83:K151">
      <formula1>'적 캐릭터 기획'!$G$18:$K$18</formula1>
    </dataValidation>
    <dataValidation type="list" allowBlank="1" showErrorMessage="1" sqref="L24:L45 L55:L63 L83:L151">
      <formula1>'적 캐릭터 기획'!$G$20:$O$20</formula1>
    </dataValidation>
    <dataValidation type="list" allowBlank="1" showErrorMessage="1" sqref="N24:N45 N55:N63">
      <formula1>"작업 안됨,작업 중,작업 완료"</formula1>
    </dataValidation>
    <dataValidation type="list" allowBlank="1" showErrorMessage="1" sqref="E24:E45 E55:E63 E83:E151">
      <formula1>'적 캐릭터 기획'!$G$6:$H$6</formula1>
    </dataValidation>
    <dataValidation type="list" allowBlank="1" showErrorMessage="1" sqref="D24:D45 D55:D63 D83:D151">
      <formula1>'적 캐릭터 기획'!$G$4:$J$4</formula1>
    </dataValidation>
    <dataValidation type="list" allowBlank="1" showErrorMessage="1" sqref="H24:H45 H55:H63 H83:H151">
      <formula1>'적 캐릭터 기획'!$G$12:$K$12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276</v>
      </c>
      <c r="B1" s="1" t="s">
        <v>277</v>
      </c>
    </row>
    <row r="2">
      <c r="A2" s="1">
        <v>1.0</v>
      </c>
      <c r="B2" s="1">
        <v>1.0</v>
      </c>
      <c r="C2" s="1">
        <v>100.0</v>
      </c>
    </row>
    <row r="3">
      <c r="A3" s="1">
        <v>2.0</v>
      </c>
      <c r="B3" s="1">
        <v>3.0</v>
      </c>
      <c r="C3" s="1">
        <v>150.0</v>
      </c>
    </row>
    <row r="4">
      <c r="A4" s="1">
        <v>3.0</v>
      </c>
      <c r="B4" s="1">
        <v>4.0</v>
      </c>
      <c r="C4" s="1">
        <v>200.0</v>
      </c>
    </row>
    <row r="5">
      <c r="A5" s="1">
        <v>4.0</v>
      </c>
      <c r="B5" s="1">
        <v>5.0</v>
      </c>
      <c r="C5" s="1">
        <v>250.0</v>
      </c>
    </row>
    <row r="6">
      <c r="A6" s="1">
        <v>5.0</v>
      </c>
      <c r="B6" s="1">
        <v>6.0</v>
      </c>
      <c r="C6" s="1">
        <v>300.0</v>
      </c>
    </row>
    <row r="7">
      <c r="A7" s="1">
        <v>6.0</v>
      </c>
      <c r="B7" s="1">
        <v>7.0</v>
      </c>
      <c r="C7" s="1">
        <v>350.0</v>
      </c>
    </row>
    <row r="8">
      <c r="A8" s="1">
        <v>7.0</v>
      </c>
      <c r="B8" s="1">
        <v>8.0</v>
      </c>
      <c r="C8" s="1">
        <v>400.0</v>
      </c>
    </row>
    <row r="9">
      <c r="A9" s="1">
        <v>8.0</v>
      </c>
      <c r="B9" s="1">
        <v>9.0</v>
      </c>
      <c r="C9" s="1">
        <v>450.0</v>
      </c>
    </row>
    <row r="10">
      <c r="A10" s="1">
        <v>9.0</v>
      </c>
      <c r="B10" s="1">
        <v>10.0</v>
      </c>
      <c r="C10" s="1">
        <v>500.0</v>
      </c>
    </row>
    <row r="11">
      <c r="A11" s="1">
        <v>10.0</v>
      </c>
      <c r="B11" s="1">
        <v>11.0</v>
      </c>
      <c r="C11" s="1">
        <v>550.0</v>
      </c>
    </row>
    <row r="12">
      <c r="A12" s="1">
        <v>11.0</v>
      </c>
      <c r="B12" s="1">
        <v>11.0</v>
      </c>
      <c r="C12" s="1">
        <v>600.0</v>
      </c>
    </row>
    <row r="13">
      <c r="A13" s="1">
        <v>12.0</v>
      </c>
      <c r="B13" s="1">
        <v>12.0</v>
      </c>
      <c r="C13" s="1">
        <v>650.0</v>
      </c>
    </row>
    <row r="14">
      <c r="A14" s="1">
        <v>13.0</v>
      </c>
      <c r="B14" s="1">
        <v>12.0</v>
      </c>
      <c r="C14" s="1">
        <v>700.0</v>
      </c>
    </row>
    <row r="15">
      <c r="A15" s="1">
        <v>14.0</v>
      </c>
      <c r="B15" s="1">
        <v>13.0</v>
      </c>
      <c r="C15" s="1">
        <v>750.0</v>
      </c>
    </row>
    <row r="16">
      <c r="A16" s="1">
        <v>15.0</v>
      </c>
      <c r="B16" s="1">
        <v>13.0</v>
      </c>
      <c r="D16" s="4">
        <f>SUM(C2:C15)</f>
        <v>5950</v>
      </c>
    </row>
    <row r="17">
      <c r="A17" s="1">
        <v>16.0</v>
      </c>
      <c r="B17" s="1">
        <v>14.0</v>
      </c>
    </row>
    <row r="18">
      <c r="A18" s="1">
        <v>17.0</v>
      </c>
      <c r="B18" s="1">
        <v>14.0</v>
      </c>
    </row>
    <row r="19">
      <c r="A19" s="1">
        <v>18.0</v>
      </c>
      <c r="B19" s="1">
        <v>15.0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278</v>
      </c>
      <c r="D3" s="1" t="s">
        <v>279</v>
      </c>
      <c r="F3" s="1" t="s">
        <v>280</v>
      </c>
      <c r="H3" s="1" t="s">
        <v>281</v>
      </c>
    </row>
    <row r="4">
      <c r="B4" s="1" t="s">
        <v>282</v>
      </c>
      <c r="D4" s="1" t="s">
        <v>283</v>
      </c>
      <c r="F4" s="1" t="s">
        <v>284</v>
      </c>
      <c r="H4" s="1" t="s">
        <v>285</v>
      </c>
    </row>
    <row r="5">
      <c r="B5" s="1" t="s">
        <v>286</v>
      </c>
      <c r="D5" s="1" t="s">
        <v>287</v>
      </c>
      <c r="F5" s="1" t="s">
        <v>288</v>
      </c>
      <c r="H5" s="1" t="s">
        <v>289</v>
      </c>
    </row>
    <row r="6">
      <c r="B6" s="1" t="s">
        <v>290</v>
      </c>
      <c r="D6" s="1" t="s">
        <v>291</v>
      </c>
      <c r="F6" s="1" t="s">
        <v>292</v>
      </c>
    </row>
    <row r="7">
      <c r="B7" s="1" t="s">
        <v>293</v>
      </c>
    </row>
    <row r="8">
      <c r="B8" s="1" t="s">
        <v>294</v>
      </c>
    </row>
  </sheetData>
  <drawing r:id="rId1"/>
</worksheet>
</file>