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ldud\OneDrive\Documents\"/>
    </mc:Choice>
  </mc:AlternateContent>
  <bookViews>
    <workbookView xWindow="0" yWindow="0" windowWidth="23040" windowHeight="9108" activeTab="2"/>
  </bookViews>
  <sheets>
    <sheet name="데미지 계산기" sheetId="1" r:id="rId1"/>
    <sheet name="캐릭터 스탯" sheetId="2" r:id="rId2"/>
    <sheet name="스킬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" i="3" l="1"/>
  <c r="Q5" i="3"/>
  <c r="Q4" i="3"/>
  <c r="Q3" i="3"/>
  <c r="E11" i="3"/>
  <c r="E12" i="3" s="1"/>
  <c r="L26" i="1"/>
  <c r="L25" i="1"/>
  <c r="S4" i="1"/>
  <c r="S8" i="1"/>
  <c r="S10" i="1" s="1"/>
  <c r="S16" i="1"/>
  <c r="R18" i="1" s="1"/>
  <c r="R6" i="1" l="1"/>
  <c r="S6" i="1" s="1"/>
  <c r="D20" i="1"/>
  <c r="D21" i="1"/>
  <c r="D22" i="1"/>
  <c r="L28" i="1"/>
  <c r="L27" i="1"/>
  <c r="M26" i="1" l="1"/>
  <c r="N26" i="1" s="1"/>
  <c r="M28" i="1"/>
  <c r="N28" i="1" s="1"/>
  <c r="M25" i="1"/>
  <c r="N25" i="1" s="1"/>
  <c r="M27" i="1"/>
  <c r="N27" i="1" s="1"/>
  <c r="D7" i="1"/>
  <c r="D6" i="1"/>
  <c r="D5" i="1"/>
  <c r="D10" i="1"/>
  <c r="G6" i="1" l="1"/>
  <c r="H6" i="1" s="1"/>
  <c r="L8" i="1" s="1"/>
  <c r="G5" i="1"/>
  <c r="D15" i="1"/>
  <c r="D17" i="1"/>
  <c r="D16" i="1"/>
  <c r="D12" i="1"/>
  <c r="D11" i="1"/>
  <c r="G7" i="1"/>
  <c r="H7" i="1" s="1"/>
  <c r="M8" i="1" s="1"/>
  <c r="H5" i="1" l="1"/>
  <c r="K8" i="1" s="1"/>
  <c r="K5" i="1"/>
  <c r="M5" i="1" s="1"/>
  <c r="L5" i="1"/>
  <c r="N5" i="1" s="1"/>
  <c r="J22" i="1" l="1"/>
  <c r="K22" i="1" s="1"/>
  <c r="E12" i="1"/>
  <c r="F12" i="1" s="1"/>
  <c r="M9" i="1" s="1"/>
  <c r="E22" i="1"/>
  <c r="F22" i="1" s="1"/>
  <c r="M11" i="1" s="1"/>
  <c r="E10" i="1"/>
  <c r="F10" i="1" s="1"/>
  <c r="K9" i="1" s="1"/>
  <c r="E15" i="1"/>
  <c r="F15" i="1" s="1"/>
  <c r="K10" i="1" s="1"/>
  <c r="E20" i="1"/>
  <c r="F20" i="1" s="1"/>
  <c r="K11" i="1" s="1"/>
  <c r="E21" i="1"/>
  <c r="F21" i="1" s="1"/>
  <c r="L11" i="1" s="1"/>
  <c r="E17" i="1"/>
  <c r="F17" i="1" s="1"/>
  <c r="M10" i="1" s="1"/>
  <c r="E11" i="1"/>
  <c r="F11" i="1" s="1"/>
  <c r="L9" i="1" s="1"/>
  <c r="E16" i="1"/>
  <c r="F16" i="1" s="1"/>
  <c r="L10" i="1" s="1"/>
  <c r="L22" i="1" l="1"/>
  <c r="L16" i="1"/>
  <c r="N16" i="1" s="1"/>
  <c r="L18" i="1"/>
  <c r="N18" i="1" s="1"/>
  <c r="L17" i="1"/>
  <c r="N17" i="1" s="1"/>
  <c r="K18" i="1"/>
  <c r="M18" i="1" s="1"/>
  <c r="K17" i="1"/>
  <c r="M17" i="1" s="1"/>
  <c r="K16" i="1"/>
  <c r="M16" i="1" s="1"/>
</calcChain>
</file>

<file path=xl/sharedStrings.xml><?xml version="1.0" encoding="utf-8"?>
<sst xmlns="http://schemas.openxmlformats.org/spreadsheetml/2006/main" count="249" uniqueCount="191">
  <si>
    <t>용사</t>
    <phoneticPr fontId="5" type="noConversion"/>
  </si>
  <si>
    <t>방어력</t>
    <phoneticPr fontId="5" type="noConversion"/>
  </si>
  <si>
    <t>기본</t>
    <phoneticPr fontId="5" type="noConversion"/>
  </si>
  <si>
    <t>스테이지</t>
    <phoneticPr fontId="5" type="noConversion"/>
  </si>
  <si>
    <t>보스pt</t>
    <phoneticPr fontId="5" type="noConversion"/>
  </si>
  <si>
    <t>pt배수</t>
    <phoneticPr fontId="5" type="noConversion"/>
  </si>
  <si>
    <t>공격력</t>
    <phoneticPr fontId="5" type="noConversion"/>
  </si>
  <si>
    <t>방어력</t>
    <phoneticPr fontId="5" type="noConversion"/>
  </si>
  <si>
    <t>체력</t>
    <phoneticPr fontId="5" type="noConversion"/>
  </si>
  <si>
    <t>근거리몹</t>
    <phoneticPr fontId="5" type="noConversion"/>
  </si>
  <si>
    <t>기본</t>
    <phoneticPr fontId="5" type="noConversion"/>
  </si>
  <si>
    <t>기본배율</t>
    <phoneticPr fontId="5" type="noConversion"/>
  </si>
  <si>
    <t>공격력</t>
    <phoneticPr fontId="5" type="noConversion"/>
  </si>
  <si>
    <t>체력</t>
    <phoneticPr fontId="5" type="noConversion"/>
  </si>
  <si>
    <t>원거리몹</t>
    <phoneticPr fontId="5" type="noConversion"/>
  </si>
  <si>
    <t>공격력</t>
    <phoneticPr fontId="5" type="noConversion"/>
  </si>
  <si>
    <t>보스몹</t>
    <phoneticPr fontId="5" type="noConversion"/>
  </si>
  <si>
    <t>스텟 증가량</t>
    <phoneticPr fontId="5" type="noConversion"/>
  </si>
  <si>
    <t>최종</t>
    <phoneticPr fontId="5" type="noConversion"/>
  </si>
  <si>
    <t>방어력</t>
    <phoneticPr fontId="5" type="noConversion"/>
  </si>
  <si>
    <t>체력</t>
    <phoneticPr fontId="5" type="noConversion"/>
  </si>
  <si>
    <t>공격력</t>
    <phoneticPr fontId="5" type="noConversion"/>
  </si>
  <si>
    <t>용사</t>
    <phoneticPr fontId="5" type="noConversion"/>
  </si>
  <si>
    <t>원거리몹</t>
    <phoneticPr fontId="5" type="noConversion"/>
  </si>
  <si>
    <t>보스몹</t>
    <phoneticPr fontId="5" type="noConversion"/>
  </si>
  <si>
    <t>공격속도</t>
    <phoneticPr fontId="5" type="noConversion"/>
  </si>
  <si>
    <t>배율 합계</t>
    <phoneticPr fontId="5" type="noConversion"/>
  </si>
  <si>
    <t>용사vs</t>
    <phoneticPr fontId="5" type="noConversion"/>
  </si>
  <si>
    <t>데미지</t>
    <phoneticPr fontId="5" type="noConversion"/>
  </si>
  <si>
    <t>사망까지 횟수</t>
    <phoneticPr fontId="5" type="noConversion"/>
  </si>
  <si>
    <t>100s</t>
    <phoneticPr fontId="5" type="noConversion"/>
  </si>
  <si>
    <t>is10s</t>
    <phoneticPr fontId="5" type="noConversion"/>
  </si>
  <si>
    <t>is100s</t>
    <phoneticPr fontId="5" type="noConversion"/>
  </si>
  <si>
    <t>객체</t>
    <phoneticPr fontId="5" type="noConversion"/>
  </si>
  <si>
    <t>조정값</t>
    <phoneticPr fontId="5" type="noConversion"/>
  </si>
  <si>
    <t>레벨배수</t>
    <phoneticPr fontId="5" type="noConversion"/>
  </si>
  <si>
    <t>스테이지</t>
    <phoneticPr fontId="5" type="noConversion"/>
  </si>
  <si>
    <t>체크용</t>
    <phoneticPr fontId="5" type="noConversion"/>
  </si>
  <si>
    <t>+10 STAGE</t>
    <phoneticPr fontId="5" type="noConversion"/>
  </si>
  <si>
    <t>타격횟수</t>
    <phoneticPr fontId="5" type="noConversion"/>
  </si>
  <si>
    <t>두 값 비교</t>
    <phoneticPr fontId="5" type="noConversion"/>
  </si>
  <si>
    <t>받는피해</t>
    <phoneticPr fontId="5" type="noConversion"/>
  </si>
  <si>
    <t>수정X</t>
    <phoneticPr fontId="5" type="noConversion"/>
  </si>
  <si>
    <t>변경,확인</t>
    <phoneticPr fontId="5" type="noConversion"/>
  </si>
  <si>
    <t>스테이지</t>
    <phoneticPr fontId="5" type="noConversion"/>
  </si>
  <si>
    <t>패시브스킬</t>
    <phoneticPr fontId="5" type="noConversion"/>
  </si>
  <si>
    <t>공격력</t>
    <phoneticPr fontId="5" type="noConversion"/>
  </si>
  <si>
    <t>방어력</t>
    <phoneticPr fontId="5" type="noConversion"/>
  </si>
  <si>
    <t>레벨</t>
    <phoneticPr fontId="5" type="noConversion"/>
  </si>
  <si>
    <t>골드 획득량</t>
    <phoneticPr fontId="5" type="noConversion"/>
  </si>
  <si>
    <t>스텟 증가량</t>
    <phoneticPr fontId="5" type="noConversion"/>
  </si>
  <si>
    <t>보스골드</t>
    <phoneticPr fontId="5" type="noConversion"/>
  </si>
  <si>
    <t>크리확률</t>
    <phoneticPr fontId="5" type="noConversion"/>
  </si>
  <si>
    <t>크리데미지</t>
    <phoneticPr fontId="5" type="noConversion"/>
  </si>
  <si>
    <t>필요골드 증가량</t>
    <phoneticPr fontId="5" type="noConversion"/>
  </si>
  <si>
    <t>필요 골드</t>
    <phoneticPr fontId="5" type="noConversion"/>
  </si>
  <si>
    <t>마력</t>
    <phoneticPr fontId="5" type="noConversion"/>
  </si>
  <si>
    <t>*2.0f * 현재 층 * 10층 당 배율 * 100층 당 배율</t>
    <phoneticPr fontId="5" type="noConversion"/>
  </si>
  <si>
    <t>체력</t>
    <phoneticPr fontId="5" type="noConversion"/>
  </si>
  <si>
    <t>*1.5f * 현재 층 * 10층 당 배율 * 100층 당 배율</t>
    <phoneticPr fontId="5" type="noConversion"/>
  </si>
  <si>
    <t>방어력</t>
    <phoneticPr fontId="5" type="noConversion"/>
  </si>
  <si>
    <t>공격력</t>
    <phoneticPr fontId="5" type="noConversion"/>
  </si>
  <si>
    <t>추가</t>
    <phoneticPr fontId="5" type="noConversion"/>
  </si>
  <si>
    <t>기본스텟</t>
    <phoneticPr fontId="5" type="noConversion"/>
  </si>
  <si>
    <t>스텟 이름</t>
    <phoneticPr fontId="5" type="noConversion"/>
  </si>
  <si>
    <t>적(보스)</t>
    <phoneticPr fontId="5" type="noConversion"/>
  </si>
  <si>
    <t>(스킬레벨 + 마력)/10</t>
    <phoneticPr fontId="5" type="noConversion"/>
  </si>
  <si>
    <t>크리뎀지</t>
    <phoneticPr fontId="5" type="noConversion"/>
  </si>
  <si>
    <t>*1.0f * 현재 층 * 10층 당 배율 * 100층 당 배율</t>
    <phoneticPr fontId="5" type="noConversion"/>
  </si>
  <si>
    <t>스킬레벨 /100</t>
    <phoneticPr fontId="5" type="noConversion"/>
  </si>
  <si>
    <t>크리확률</t>
    <phoneticPr fontId="5" type="noConversion"/>
  </si>
  <si>
    <t>방어력</t>
    <phoneticPr fontId="5" type="noConversion"/>
  </si>
  <si>
    <t>공격력</t>
    <phoneticPr fontId="5" type="noConversion"/>
  </si>
  <si>
    <t>적(원거리)</t>
    <phoneticPr fontId="5" type="noConversion"/>
  </si>
  <si>
    <t>플레이어 패시브 스킬</t>
    <phoneticPr fontId="5" type="noConversion"/>
  </si>
  <si>
    <t xml:space="preserve"> + 패시브스킬</t>
    <phoneticPr fontId="5" type="noConversion"/>
  </si>
  <si>
    <t>2.0f</t>
    <phoneticPr fontId="5" type="noConversion"/>
  </si>
  <si>
    <t>패시브스킬</t>
    <phoneticPr fontId="5" type="noConversion"/>
  </si>
  <si>
    <t>최대 층</t>
    <phoneticPr fontId="5" type="noConversion"/>
  </si>
  <si>
    <t>마력</t>
    <phoneticPr fontId="5" type="noConversion"/>
  </si>
  <si>
    <t>* (3.0f * 영웅레벨)</t>
    <phoneticPr fontId="5" type="noConversion"/>
  </si>
  <si>
    <t>적(근접)</t>
    <phoneticPr fontId="5" type="noConversion"/>
  </si>
  <si>
    <t xml:space="preserve"> +(방어력 * 패시브스킬)</t>
    <phoneticPr fontId="5" type="noConversion"/>
  </si>
  <si>
    <t>* (1.0f * 영웅레벨)</t>
    <phoneticPr fontId="5" type="noConversion"/>
  </si>
  <si>
    <t xml:space="preserve"> +(공격력 * 패시브스킬)</t>
    <phoneticPr fontId="5" type="noConversion"/>
  </si>
  <si>
    <t>100층마다 1.0f 씩 추가</t>
    <phoneticPr fontId="5" type="noConversion"/>
  </si>
  <si>
    <t>100층 당 배율</t>
    <phoneticPr fontId="5" type="noConversion"/>
  </si>
  <si>
    <t>추가 적용</t>
    <phoneticPr fontId="5" type="noConversion"/>
  </si>
  <si>
    <t>스텟이름</t>
    <phoneticPr fontId="5" type="noConversion"/>
  </si>
  <si>
    <t>10층마다 0.5f 씩 추가</t>
    <phoneticPr fontId="5" type="noConversion"/>
  </si>
  <si>
    <t>10층 당 배율</t>
    <phoneticPr fontId="5" type="noConversion"/>
  </si>
  <si>
    <t>플레이어 정보</t>
    <phoneticPr fontId="5" type="noConversion"/>
  </si>
  <si>
    <t>레벨디자인 데이터</t>
    <phoneticPr fontId="5" type="noConversion"/>
  </si>
  <si>
    <t>열1</t>
  </si>
  <si>
    <t>1 +</t>
    <phoneticPr fontId="5" type="noConversion"/>
  </si>
  <si>
    <t>1 +</t>
    <phoneticPr fontId="5" type="noConversion"/>
  </si>
  <si>
    <t>플라즈마 소드</t>
    <phoneticPr fontId="5" type="noConversion"/>
  </si>
  <si>
    <t>어스퀘이크</t>
    <phoneticPr fontId="5" type="noConversion"/>
  </si>
  <si>
    <t>메테오 스웜</t>
    <phoneticPr fontId="5" type="noConversion"/>
  </si>
  <si>
    <t>(기본데미지*스킬레벨+기본데미지 * 마력 * 계수)* 메테오 갯수</t>
    <phoneticPr fontId="5" type="noConversion"/>
  </si>
  <si>
    <t>스킬레벨</t>
    <phoneticPr fontId="5" type="noConversion"/>
  </si>
  <si>
    <t>메테오 개수</t>
    <phoneticPr fontId="5" type="noConversion"/>
  </si>
  <si>
    <t>기본 데미지</t>
    <phoneticPr fontId="5" type="noConversion"/>
  </si>
  <si>
    <t>마력 계수</t>
    <phoneticPr fontId="5" type="noConversion"/>
  </si>
  <si>
    <t>발 당 데미지</t>
    <phoneticPr fontId="5" type="noConversion"/>
  </si>
  <si>
    <t>총 데미지</t>
    <phoneticPr fontId="5" type="noConversion"/>
  </si>
  <si>
    <t>5유닛</t>
    <phoneticPr fontId="5" type="noConversion"/>
  </si>
  <si>
    <t>스킬 명</t>
    <phoneticPr fontId="5" type="noConversion"/>
  </si>
  <si>
    <t>스킬레벨</t>
    <phoneticPr fontId="5" type="noConversion"/>
  </si>
  <si>
    <t>슬로우</t>
    <phoneticPr fontId="5" type="noConversion"/>
  </si>
  <si>
    <t>기본 데미지</t>
    <phoneticPr fontId="5" type="noConversion"/>
  </si>
  <si>
    <t>마력 계수</t>
    <phoneticPr fontId="5" type="noConversion"/>
  </si>
  <si>
    <t>아이스필드</t>
    <phoneticPr fontId="5" type="noConversion"/>
  </si>
  <si>
    <t>스킬 범위</t>
    <phoneticPr fontId="5" type="noConversion"/>
  </si>
  <si>
    <t>스킬 범위</t>
    <phoneticPr fontId="5" type="noConversion"/>
  </si>
  <si>
    <t>10 유닛</t>
    <phoneticPr fontId="5" type="noConversion"/>
  </si>
  <si>
    <t>플라즈마 소드</t>
    <phoneticPr fontId="5" type="noConversion"/>
  </si>
  <si>
    <t>범위 증가량</t>
    <phoneticPr fontId="5" type="noConversion"/>
  </si>
  <si>
    <t>공격력 증가량</t>
    <phoneticPr fontId="5" type="noConversion"/>
  </si>
  <si>
    <t>지속 시간</t>
    <phoneticPr fontId="5" type="noConversion"/>
  </si>
  <si>
    <t>1초</t>
    <phoneticPr fontId="5" type="noConversion"/>
  </si>
  <si>
    <t>스킬 추가효과</t>
    <phoneticPr fontId="5" type="noConversion"/>
  </si>
  <si>
    <t>1레벨</t>
    <phoneticPr fontId="5" type="noConversion"/>
  </si>
  <si>
    <t>10레벨</t>
    <phoneticPr fontId="5" type="noConversion"/>
  </si>
  <si>
    <t>20레벨</t>
    <phoneticPr fontId="5" type="noConversion"/>
  </si>
  <si>
    <t>50레벨</t>
    <phoneticPr fontId="5" type="noConversion"/>
  </si>
  <si>
    <t>100레벨</t>
    <phoneticPr fontId="5" type="noConversion"/>
  </si>
  <si>
    <t>200레벨</t>
    <phoneticPr fontId="5" type="noConversion"/>
  </si>
  <si>
    <t>500레벨</t>
    <phoneticPr fontId="5" type="noConversion"/>
  </si>
  <si>
    <t>1000레벨</t>
    <phoneticPr fontId="5" type="noConversion"/>
  </si>
  <si>
    <t>레벨</t>
    <phoneticPr fontId="5" type="noConversion"/>
  </si>
  <si>
    <t>메테오</t>
    <phoneticPr fontId="5" type="noConversion"/>
  </si>
  <si>
    <t>아이스필드</t>
    <phoneticPr fontId="5" type="noConversion"/>
  </si>
  <si>
    <t>플라즈마소드</t>
    <phoneticPr fontId="5" type="noConversion"/>
  </si>
  <si>
    <t>4개, 기본범위</t>
    <phoneticPr fontId="5" type="noConversion"/>
  </si>
  <si>
    <t>5개</t>
    <phoneticPr fontId="5" type="noConversion"/>
  </si>
  <si>
    <t>6개</t>
    <phoneticPr fontId="5" type="noConversion"/>
  </si>
  <si>
    <t>7개</t>
    <phoneticPr fontId="5" type="noConversion"/>
  </si>
  <si>
    <t>9개, 범위증가</t>
    <phoneticPr fontId="5" type="noConversion"/>
  </si>
  <si>
    <t>12개</t>
    <phoneticPr fontId="5" type="noConversion"/>
  </si>
  <si>
    <t>15개</t>
    <phoneticPr fontId="5" type="noConversion"/>
  </si>
  <si>
    <t>20개, 범위증가</t>
    <phoneticPr fontId="5" type="noConversion"/>
  </si>
  <si>
    <t>지속시간 1초</t>
    <phoneticPr fontId="5" type="noConversion"/>
  </si>
  <si>
    <t>어스퀘이크</t>
    <phoneticPr fontId="5" type="noConversion"/>
  </si>
  <si>
    <t>지속시간</t>
    <phoneticPr fontId="5" type="noConversion"/>
  </si>
  <si>
    <t>5초</t>
    <phoneticPr fontId="5" type="noConversion"/>
  </si>
  <si>
    <t>지속시간</t>
    <phoneticPr fontId="5" type="noConversion"/>
  </si>
  <si>
    <t>3초</t>
    <phoneticPr fontId="5" type="noConversion"/>
  </si>
  <si>
    <t>슬로우 10%,지속시간 3초, 기본범위</t>
    <phoneticPr fontId="5" type="noConversion"/>
  </si>
  <si>
    <t>지속시간 5초</t>
    <phoneticPr fontId="5" type="noConversion"/>
  </si>
  <si>
    <t>6초</t>
    <phoneticPr fontId="5" type="noConversion"/>
  </si>
  <si>
    <t>7초</t>
    <phoneticPr fontId="5" type="noConversion"/>
  </si>
  <si>
    <t>8초</t>
    <phoneticPr fontId="5" type="noConversion"/>
  </si>
  <si>
    <t>10초</t>
    <phoneticPr fontId="5" type="noConversion"/>
  </si>
  <si>
    <t>12초</t>
    <phoneticPr fontId="5" type="noConversion"/>
  </si>
  <si>
    <t>15초</t>
    <phoneticPr fontId="5" type="noConversion"/>
  </si>
  <si>
    <t>20초</t>
    <phoneticPr fontId="5" type="noConversion"/>
  </si>
  <si>
    <t>플레이어 액티브 스킬 데미지</t>
    <phoneticPr fontId="5" type="noConversion"/>
  </si>
  <si>
    <t>아이스 필드</t>
    <phoneticPr fontId="5" type="noConversion"/>
  </si>
  <si>
    <t>기본데미지*스킬레벨+기본데미지 * 마력 * 계수</t>
    <phoneticPr fontId="5" type="noConversion"/>
  </si>
  <si>
    <t>총 데미지</t>
    <phoneticPr fontId="5" type="noConversion"/>
  </si>
  <si>
    <t>총 데미지</t>
    <phoneticPr fontId="5" type="noConversion"/>
  </si>
  <si>
    <t>소모 골드</t>
    <phoneticPr fontId="5" type="noConversion"/>
  </si>
  <si>
    <t>골드 증가량</t>
    <phoneticPr fontId="5" type="noConversion"/>
  </si>
  <si>
    <t>100*스킬레벨</t>
    <phoneticPr fontId="5" type="noConversion"/>
  </si>
  <si>
    <t>100*골드증가량*스킬레벨</t>
    <phoneticPr fontId="5" type="noConversion"/>
  </si>
  <si>
    <t>100*골드증가량*스킬레벨</t>
    <phoneticPr fontId="5" type="noConversion"/>
  </si>
  <si>
    <t>100*스킬레벨</t>
    <phoneticPr fontId="5" type="noConversion"/>
  </si>
  <si>
    <t>1000*스킬레벨</t>
    <phoneticPr fontId="5" type="noConversion"/>
  </si>
  <si>
    <t>1000*스킬레벨</t>
    <phoneticPr fontId="5" type="noConversion"/>
  </si>
  <si>
    <t>100*골드증가량*스킬레벨</t>
    <phoneticPr fontId="5" type="noConversion"/>
  </si>
  <si>
    <t>100*골드증가량*스킬레벨</t>
    <phoneticPr fontId="5" type="noConversion"/>
  </si>
  <si>
    <t>골드 증가량</t>
    <phoneticPr fontId="5" type="noConversion"/>
  </si>
  <si>
    <t>습득골드</t>
    <phoneticPr fontId="5" type="noConversion"/>
  </si>
  <si>
    <t>10레벨마다</t>
    <phoneticPr fontId="5" type="noConversion"/>
  </si>
  <si>
    <t>2배 증가</t>
    <phoneticPr fontId="5" type="noConversion"/>
  </si>
  <si>
    <t>100레벨마다</t>
    <phoneticPr fontId="5" type="noConversion"/>
  </si>
  <si>
    <t>5배 증가</t>
    <phoneticPr fontId="5" type="noConversion"/>
  </si>
  <si>
    <t>2000*스킬레벨</t>
    <phoneticPr fontId="5" type="noConversion"/>
  </si>
  <si>
    <t>*18</t>
    <phoneticPr fontId="5" type="noConversion"/>
  </si>
  <si>
    <t>*5</t>
    <phoneticPr fontId="5" type="noConversion"/>
  </si>
  <si>
    <t>액티브스킬 골드</t>
    <phoneticPr fontId="5" type="noConversion"/>
  </si>
  <si>
    <t>10레벨</t>
    <phoneticPr fontId="5" type="noConversion"/>
  </si>
  <si>
    <t>100레벨</t>
    <phoneticPr fontId="5" type="noConversion"/>
  </si>
  <si>
    <t>플레이어 데미지+ 플레이어데미지*(기본데미지*스킬레벨+데미지*마력*계수</t>
    <phoneticPr fontId="5" type="noConversion"/>
  </si>
  <si>
    <t>50%, 4초, 범위증가</t>
    <phoneticPr fontId="5" type="noConversion"/>
  </si>
  <si>
    <t>80%, 5초, 범위증가</t>
    <phoneticPr fontId="5" type="noConversion"/>
  </si>
  <si>
    <t>100+100*(1*1+1*1*0.1)</t>
    <phoneticPr fontId="5" type="noConversion"/>
  </si>
  <si>
    <t>(100*1+100*1*0.2)*4</t>
    <phoneticPr fontId="5" type="noConversion"/>
  </si>
  <si>
    <t>200*1+200*1*0.15</t>
    <phoneticPr fontId="5" type="noConversion"/>
  </si>
  <si>
    <t>300*1+300*1*0.2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</si>
</sst>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2" formatCode="_-&quot;₩&quot;* #,##0_-;\-&quot;₩&quot;* #,##0_-;_-&quot;₩&quot;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3" borderId="1" xfId="2" applyBorder="1">
      <alignment vertical="center"/>
    </xf>
    <xf numFmtId="0" fontId="3" fillId="4" borderId="7" xfId="3" applyBorder="1" applyAlignment="1">
      <alignment horizontal="center" vertical="center"/>
    </xf>
    <xf numFmtId="0" fontId="2" fillId="3" borderId="4" xfId="2" applyBorder="1" applyAlignment="1">
      <alignment horizontal="center" vertical="center"/>
    </xf>
    <xf numFmtId="0" fontId="0" fillId="0" borderId="0" xfId="0" applyBorder="1">
      <alignment vertical="center"/>
    </xf>
    <xf numFmtId="0" fontId="1" fillId="2" borderId="0" xfId="1" applyBorder="1">
      <alignment vertical="center"/>
    </xf>
    <xf numFmtId="0" fontId="3" fillId="4" borderId="0" xfId="3" applyBorder="1">
      <alignment vertical="center"/>
    </xf>
    <xf numFmtId="0" fontId="2" fillId="3" borderId="8" xfId="2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quotePrefix="1" applyBorder="1">
      <alignment vertical="center"/>
    </xf>
    <xf numFmtId="0" fontId="2" fillId="3" borderId="15" xfId="2" applyBorder="1">
      <alignment vertical="center"/>
    </xf>
    <xf numFmtId="0" fontId="4" fillId="5" borderId="16" xfId="4" applyBorder="1">
      <alignment vertical="center"/>
    </xf>
    <xf numFmtId="0" fontId="4" fillId="5" borderId="17" xfId="4" applyBorder="1">
      <alignment vertical="center"/>
    </xf>
    <xf numFmtId="0" fontId="4" fillId="5" borderId="1" xfId="4" applyBorder="1">
      <alignment vertical="center"/>
    </xf>
    <xf numFmtId="0" fontId="4" fillId="5" borderId="18" xfId="4" applyBorder="1">
      <alignment vertical="center"/>
    </xf>
    <xf numFmtId="0" fontId="4" fillId="5" borderId="14" xfId="4" applyBorder="1">
      <alignment vertical="center"/>
    </xf>
    <xf numFmtId="0" fontId="4" fillId="5" borderId="19" xfId="4" applyBorder="1">
      <alignment vertical="center"/>
    </xf>
    <xf numFmtId="9" fontId="0" fillId="0" borderId="0" xfId="0" applyNumberFormat="1">
      <alignment vertical="center"/>
    </xf>
    <xf numFmtId="0" fontId="0" fillId="0" borderId="4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0" xfId="0" applyNumberFormat="1" applyBorder="1">
      <alignment vertical="center"/>
    </xf>
    <xf numFmtId="0" fontId="0" fillId="6" borderId="24" xfId="0" applyFill="1" applyBorder="1">
      <alignment vertical="center"/>
    </xf>
    <xf numFmtId="0" fontId="0" fillId="7" borderId="23" xfId="0" applyFill="1" applyBorder="1">
      <alignment vertical="center"/>
    </xf>
    <xf numFmtId="0" fontId="1" fillId="2" borderId="5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2" xfId="4" applyBorder="1" applyAlignment="1">
      <alignment horizontal="center" vertical="center"/>
    </xf>
    <xf numFmtId="0" fontId="4" fillId="5" borderId="3" xfId="4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7" fillId="10" borderId="0" xfId="0" applyFont="1" applyFill="1">
      <alignment vertical="center"/>
    </xf>
    <xf numFmtId="0" fontId="8" fillId="10" borderId="0" xfId="0" applyFont="1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9" fontId="0" fillId="12" borderId="0" xfId="0" applyNumberFormat="1" applyFill="1">
      <alignment vertical="center"/>
    </xf>
    <xf numFmtId="0" fontId="0" fillId="13" borderId="0" xfId="0" applyFill="1">
      <alignment vertical="center"/>
    </xf>
    <xf numFmtId="9" fontId="0" fillId="13" borderId="0" xfId="0" applyNumberFormat="1" applyFill="1">
      <alignment vertical="center"/>
    </xf>
    <xf numFmtId="0" fontId="0" fillId="14" borderId="0" xfId="0" applyFill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15" borderId="0" xfId="0" applyFont="1" applyFill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0" xfId="0" applyFill="1" applyBorder="1">
      <alignment vertical="center"/>
    </xf>
    <xf numFmtId="0" fontId="0" fillId="9" borderId="25" xfId="0" applyFill="1" applyBorder="1">
      <alignment vertical="center"/>
    </xf>
    <xf numFmtId="0" fontId="0" fillId="0" borderId="13" xfId="0" applyBorder="1" applyAlignment="1">
      <alignment horizontal="right" vertical="center"/>
    </xf>
    <xf numFmtId="0" fontId="7" fillId="16" borderId="5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6" borderId="7" xfId="0" applyFont="1" applyFill="1" applyBorder="1" applyAlignment="1">
      <alignment horizontal="center" vertical="center"/>
    </xf>
    <xf numFmtId="9" fontId="0" fillId="0" borderId="0" xfId="0" applyNumberFormat="1" applyBorder="1">
      <alignment vertical="center"/>
    </xf>
    <xf numFmtId="0" fontId="0" fillId="9" borderId="9" xfId="0" applyFill="1" applyBorder="1">
      <alignment vertical="center"/>
    </xf>
    <xf numFmtId="0" fontId="0" fillId="9" borderId="11" xfId="0" applyFill="1" applyBorder="1">
      <alignment vertical="center"/>
    </xf>
    <xf numFmtId="0" fontId="0" fillId="9" borderId="12" xfId="0" applyFill="1" applyBorder="1">
      <alignment vertical="center"/>
    </xf>
    <xf numFmtId="0" fontId="0" fillId="9" borderId="9" xfId="0" applyFill="1" applyBorder="1" applyAlignment="1">
      <alignment horizontal="right" vertical="center"/>
    </xf>
    <xf numFmtId="0" fontId="0" fillId="9" borderId="25" xfId="0" applyFill="1" applyBorder="1" applyAlignment="1">
      <alignment horizontal="center" vertical="center"/>
    </xf>
    <xf numFmtId="0" fontId="0" fillId="12" borderId="0" xfId="5" applyNumberFormat="1" applyFont="1" applyFill="1">
      <alignment vertical="center"/>
    </xf>
  </cellXfs>
  <cellStyles count="6">
    <cellStyle name="계산" xfId="4" builtinId="22"/>
    <cellStyle name="나쁨" xfId="2" builtinId="27"/>
    <cellStyle name="보통" xfId="3" builtinId="28"/>
    <cellStyle name="좋음" xfId="1" builtinId="26"/>
    <cellStyle name="통화 [0]" xfId="5" builtinId="7"/>
    <cellStyle name="표준" xfId="0" builtinId="0"/>
  </cellStyles>
  <dxfs count="22">
    <dxf>
      <numFmt numFmtId="13" formatCode="0%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13" formatCode="0%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0" formatCode="General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표3" displayName="표3" ref="B4:H7" totalsRowShown="0" tableBorderDxfId="21">
  <autoFilter ref="B4:H7"/>
  <tableColumns count="7">
    <tableColumn id="1" name="용사"/>
    <tableColumn id="2" name="기본"/>
    <tableColumn id="3" name="레벨배수" dataCellStyle="좋음"/>
    <tableColumn id="4" name="보스pt" dataCellStyle="나쁨"/>
    <tableColumn id="5" name="pt배수" dataCellStyle="좋음"/>
    <tableColumn id="6" name="배율 합계" dataDxfId="20" dataCellStyle="보통">
      <calculatedColumnFormula>D5+E5*F5</calculatedColumnFormula>
    </tableColumn>
    <tableColumn id="7" name="최종" dataCellStyle="보통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표4" displayName="표4" ref="B9:F12" totalsRowShown="0" tableBorderDxfId="19">
  <autoFilter ref="B9:F12"/>
  <tableColumns count="5">
    <tableColumn id="1" name="근거리몹"/>
    <tableColumn id="2" name="기본"/>
    <tableColumn id="3" name="스테이지" dataCellStyle="좋음"/>
    <tableColumn id="4" name="기본배율" dataCellStyle="보통"/>
    <tableColumn id="5" name="최종" dataCellStyle="보통">
      <calculatedColumnFormula>C10*E10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5" name="표5" displayName="표5" ref="B14:F17" totalsRowShown="0" tableBorderDxfId="18">
  <autoFilter ref="B14:F17"/>
  <tableColumns count="5">
    <tableColumn id="1" name="원거리몹"/>
    <tableColumn id="2" name="기본"/>
    <tableColumn id="3" name="스테이지" dataCellStyle="좋음"/>
    <tableColumn id="4" name="기본배율" dataCellStyle="보통"/>
    <tableColumn id="5" name="최종" dataCellStyle="보통">
      <calculatedColumnFormula>C15*E15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6" name="표6" displayName="표6" ref="B19:F22" totalsRowShown="0" tableBorderDxfId="17">
  <autoFilter ref="B19:F22"/>
  <tableColumns count="5">
    <tableColumn id="1" name="보스몹"/>
    <tableColumn id="2" name="기본"/>
    <tableColumn id="3" name="스테이지" dataCellStyle="좋음"/>
    <tableColumn id="4" name="기본배율" dataCellStyle="보통"/>
    <tableColumn id="5" name="최종" dataCellStyle="보통">
      <calculatedColumnFormula>C20*E20</calculatedColumnFormula>
    </tableColumn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8" name="표8" displayName="표8" ref="J7:N11" totalsRowShown="0" tableBorderDxfId="16" dataCellStyle="표준">
  <autoFilter ref="J7:N11"/>
  <tableColumns count="5">
    <tableColumn id="1" name="객체" dataCellStyle="표준"/>
    <tableColumn id="2" name="공격력" dataCellStyle="표준"/>
    <tableColumn id="3" name="방어력" dataCellStyle="표준"/>
    <tableColumn id="4" name="체력" dataCellStyle="표준"/>
    <tableColumn id="5" name="공격속도" dataCellStyle="표준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id="9" name="표9" displayName="표9" ref="J15:N18" totalsRowShown="0">
  <autoFilter ref="J15:N18"/>
  <tableColumns count="5">
    <tableColumn id="1" name="용사vs" dataDxfId="15"/>
    <tableColumn id="2" name="데미지"/>
    <tableColumn id="3" name="받는피해"/>
    <tableColumn id="4" name="타격횟수" dataDxfId="14" dataCellStyle="계산">
      <calculatedColumnFormula>ROUND((M9/K16),0)</calculatedColumnFormula>
    </tableColumn>
    <tableColumn id="5" name="사망까지 횟수" dataDxfId="13" dataCellStyle="계산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id="7" name="표7" displayName="표7" ref="J4:N5" totalsRowShown="0" tableBorderDxfId="12">
  <autoFilter ref="J4:N5"/>
  <tableColumns count="5">
    <tableColumn id="1" name="스테이지" dataCellStyle="나쁨"/>
    <tableColumn id="2" name="is10s" dataCellStyle="보통">
      <calculatedColumnFormula>MOD(J5,10)</calculatedColumnFormula>
    </tableColumn>
    <tableColumn id="3" name="is100s" dataCellStyle="보통">
      <calculatedColumnFormula>MOD(J5,100)</calculatedColumnFormula>
    </tableColumn>
    <tableColumn id="4" name="+10 STAGE" dataCellStyle="보통">
      <calculatedColumnFormula>IF(K5 = 0,0.5+0.5*J5/10,0.5)+0.5</calculatedColumnFormula>
    </tableColumn>
    <tableColumn id="5" name="100s" dataCellStyle="보통">
      <calculatedColumnFormula>IF(L5 = 0,1+1*J5/100,1)</calculatedColumnFormula>
    </tableColumn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id="1" name="표1" displayName="표1" ref="J21:L22" totalsRowShown="0" tableBorderDxfId="2">
  <autoFilter ref="J21:L22"/>
  <tableColumns count="3">
    <tableColumn id="1" name="골드 획득량">
      <calculatedColumnFormula>10*표7[스테이지]*표7[+10 STAGE]*표7[100s]</calculatedColumnFormula>
    </tableColumn>
    <tableColumn id="2" name="보스골드">
      <calculatedColumnFormula>J22*30</calculatedColumnFormula>
    </tableColumn>
    <tableColumn id="3" name="스테이지">
      <calculatedColumnFormula>90*J22+K22</calculatedColumnFormula>
    </tableColumn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id="2" name="표2" displayName="표2" ref="J24:N28" totalsRowShown="0" tableBorderDxfId="11">
  <autoFilter ref="J24:N28"/>
  <tableColumns count="5">
    <tableColumn id="1" name="패시브스킬"/>
    <tableColumn id="2" name="레벨"/>
    <tableColumn id="3" name="스텟 증가량" dataDxfId="10"/>
    <tableColumn id="4" name="필요골드 증가량"/>
    <tableColumn id="5" name="필요 골드" dataDxfId="3">
      <calculatedColumnFormula>100*K25*M25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표10" displayName="표10" ref="B4:E10" totalsRowShown="0" headerRowBorderDxfId="9" tableBorderDxfId="8">
  <autoFilter ref="B4:E10"/>
  <tableColumns count="4">
    <tableColumn id="1" name="스텟이름"/>
    <tableColumn id="2" name="기본스텟" dataDxfId="7"/>
    <tableColumn id="3" name="추가 적용"/>
    <tableColumn id="4" name="열1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표11" displayName="표11" ref="G7:I10" totalsRowShown="0" tableBorderDxfId="6">
  <autoFilter ref="G7:I10"/>
  <tableColumns count="3">
    <tableColumn id="1" name="스텟 이름"/>
    <tableColumn id="2" name="기본스텟"/>
    <tableColumn id="3" name="추가"/>
  </tableColumns>
  <tableStyleInfo name="TableStyleLight10" showFirstColumn="0" showLastColumn="0" showRowStripes="1" showColumnStripes="0"/>
</table>
</file>

<file path=xl/tables/table12.xml><?xml version="1.0" encoding="utf-8"?>
<table xmlns="http://schemas.openxmlformats.org/spreadsheetml/2006/main" id="12" name="표12" displayName="표12" ref="G13:I16" totalsRowShown="0" tableBorderDxfId="5">
  <autoFilter ref="G13:I16"/>
  <tableColumns count="3">
    <tableColumn id="1" name="스텟 이름"/>
    <tableColumn id="2" name="기본스텟"/>
    <tableColumn id="3" name="추가"/>
  </tableColumns>
  <tableStyleInfo name="TableStyleLight10" showFirstColumn="0" showLastColumn="0" showRowStripes="1" showColumnStripes="0"/>
</table>
</file>

<file path=xl/tables/table13.xml><?xml version="1.0" encoding="utf-8"?>
<table xmlns="http://schemas.openxmlformats.org/spreadsheetml/2006/main" id="13" name="표13" displayName="표13" ref="G19:I22" totalsRowShown="0" tableBorderDxfId="4">
  <autoFilter ref="G19:I22"/>
  <tableColumns count="3">
    <tableColumn id="1" name="스텟 이름"/>
    <tableColumn id="2" name="기본스텟"/>
    <tableColumn id="3" name="추가"/>
  </tableColumns>
  <tableStyleInfo name="TableStyleLight10" showFirstColumn="0" showLastColumn="0" showRowStripes="1" showColumnStripes="0"/>
</table>
</file>

<file path=xl/tables/table14.xml><?xml version="1.0" encoding="utf-8"?>
<table xmlns="http://schemas.openxmlformats.org/spreadsheetml/2006/main" id="15" name="표15" displayName="표15" ref="H3:L11" totalsRowShown="0" tableBorderDxfId="1">
  <autoFilter ref="H3:L11"/>
  <tableColumns count="5">
    <tableColumn id="1" name="레벨"/>
    <tableColumn id="2" name="메테오"/>
    <tableColumn id="3" name="아이스필드" dataDxfId="0"/>
    <tableColumn id="4" name="플라즈마소드"/>
    <tableColumn id="5" name="어스퀘이크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8"/>
  <sheetViews>
    <sheetView topLeftCell="D1" workbookViewId="0">
      <selection activeCell="R22" sqref="R22"/>
    </sheetView>
  </sheetViews>
  <sheetFormatPr defaultRowHeight="17.399999999999999" x14ac:dyDescent="0.4"/>
  <cols>
    <col min="2" max="2" width="9.796875" customWidth="1"/>
    <col min="4" max="5" width="9.796875" customWidth="1"/>
    <col min="6" max="6" width="8.796875" customWidth="1"/>
    <col min="7" max="7" width="10.3984375" customWidth="1"/>
    <col min="10" max="10" width="12.19921875" customWidth="1"/>
    <col min="11" max="11" width="9.796875" customWidth="1"/>
    <col min="12" max="12" width="13.09765625" bestFit="1" customWidth="1"/>
    <col min="13" max="13" width="15.796875" customWidth="1"/>
    <col min="14" max="14" width="8.8984375" customWidth="1"/>
    <col min="16" max="16" width="13.09765625" bestFit="1" customWidth="1"/>
    <col min="18" max="18" width="13" bestFit="1" customWidth="1"/>
    <col min="19" max="19" width="11.09765625" bestFit="1" customWidth="1"/>
    <col min="20" max="20" width="12.59765625" bestFit="1" customWidth="1"/>
    <col min="21" max="21" width="11.09765625" bestFit="1" customWidth="1"/>
    <col min="23" max="23" width="9.3984375" bestFit="1" customWidth="1"/>
  </cols>
  <sheetData>
    <row r="1" spans="2:20" ht="18" thickBot="1" x14ac:dyDescent="0.45"/>
    <row r="2" spans="2:20" ht="18" thickBot="1" x14ac:dyDescent="0.45">
      <c r="B2" s="31" t="s">
        <v>17</v>
      </c>
      <c r="C2" s="32"/>
      <c r="D2" s="4" t="s">
        <v>34</v>
      </c>
      <c r="E2" s="3" t="s">
        <v>42</v>
      </c>
    </row>
    <row r="3" spans="2:20" x14ac:dyDescent="0.4">
      <c r="J3" s="1" t="s">
        <v>43</v>
      </c>
      <c r="K3" s="33" t="s">
        <v>37</v>
      </c>
      <c r="L3" s="33"/>
      <c r="P3" s="41" t="s">
        <v>107</v>
      </c>
      <c r="Q3" s="42" t="s">
        <v>100</v>
      </c>
      <c r="R3" s="42" t="s">
        <v>101</v>
      </c>
      <c r="S3" s="42" t="s">
        <v>102</v>
      </c>
      <c r="T3" s="42" t="s">
        <v>103</v>
      </c>
    </row>
    <row r="4" spans="2:20" x14ac:dyDescent="0.4">
      <c r="B4" s="5" t="s">
        <v>0</v>
      </c>
      <c r="C4" s="5" t="s">
        <v>2</v>
      </c>
      <c r="D4" s="5" t="s">
        <v>35</v>
      </c>
      <c r="E4" s="5" t="s">
        <v>4</v>
      </c>
      <c r="F4" s="5" t="s">
        <v>5</v>
      </c>
      <c r="G4" s="5" t="s">
        <v>26</v>
      </c>
      <c r="H4" s="5" t="s">
        <v>18</v>
      </c>
      <c r="J4" s="5" t="s">
        <v>36</v>
      </c>
      <c r="K4" s="5" t="s">
        <v>31</v>
      </c>
      <c r="L4" s="5" t="s">
        <v>32</v>
      </c>
      <c r="M4" s="14" t="s">
        <v>38</v>
      </c>
      <c r="N4" s="5" t="s">
        <v>30</v>
      </c>
      <c r="P4" s="43" t="s">
        <v>98</v>
      </c>
      <c r="Q4" s="43">
        <v>1</v>
      </c>
      <c r="R4" s="43">
        <v>4</v>
      </c>
      <c r="S4" s="43">
        <f>100*Q4</f>
        <v>100</v>
      </c>
      <c r="T4" s="43">
        <v>0.2</v>
      </c>
    </row>
    <row r="5" spans="2:20" x14ac:dyDescent="0.4">
      <c r="B5" s="5" t="s">
        <v>6</v>
      </c>
      <c r="C5" s="5">
        <v>50</v>
      </c>
      <c r="D5" s="6">
        <f>J5*1</f>
        <v>1</v>
      </c>
      <c r="E5" s="2">
        <v>1</v>
      </c>
      <c r="F5" s="6">
        <v>0</v>
      </c>
      <c r="G5" s="7">
        <f>D5+E5*F5</f>
        <v>1</v>
      </c>
      <c r="H5" s="7">
        <f>C5*G5</f>
        <v>50</v>
      </c>
      <c r="J5" s="15">
        <v>1</v>
      </c>
      <c r="K5" s="7">
        <f>MOD(J5,10)</f>
        <v>1</v>
      </c>
      <c r="L5" s="7">
        <f>MOD(J5,100)</f>
        <v>1</v>
      </c>
      <c r="M5" s="7">
        <f>IF(K5 = 0,0.5+0.5*J5/10,0.5)+0.5</f>
        <v>1</v>
      </c>
      <c r="N5" s="7">
        <f>IF(L5 = 0,1+1*J5/100,1)</f>
        <v>1</v>
      </c>
      <c r="Q5" s="41" t="s">
        <v>114</v>
      </c>
      <c r="R5" s="42" t="s">
        <v>104</v>
      </c>
      <c r="S5" s="42" t="s">
        <v>105</v>
      </c>
    </row>
    <row r="6" spans="2:20" x14ac:dyDescent="0.4">
      <c r="B6" s="5" t="s">
        <v>7</v>
      </c>
      <c r="C6" s="5">
        <v>70</v>
      </c>
      <c r="D6" s="6">
        <f>J5*1</f>
        <v>1</v>
      </c>
      <c r="E6" s="2">
        <v>1</v>
      </c>
      <c r="F6" s="6">
        <v>0</v>
      </c>
      <c r="G6" s="7">
        <f>D6+E6*F6</f>
        <v>1</v>
      </c>
      <c r="H6" s="7">
        <f>C6*G6</f>
        <v>70</v>
      </c>
      <c r="Q6" s="43" t="s">
        <v>106</v>
      </c>
      <c r="R6" s="43">
        <f>S4+S4*N22*T4</f>
        <v>120</v>
      </c>
      <c r="S6" s="43">
        <f>R6*R4</f>
        <v>480</v>
      </c>
    </row>
    <row r="7" spans="2:20" x14ac:dyDescent="0.4">
      <c r="B7" s="5" t="s">
        <v>8</v>
      </c>
      <c r="C7" s="5">
        <v>1000</v>
      </c>
      <c r="D7" s="6">
        <f>J5*3</f>
        <v>3</v>
      </c>
      <c r="E7" s="8">
        <v>1</v>
      </c>
      <c r="F7" s="6">
        <v>0</v>
      </c>
      <c r="G7" s="7">
        <f t="shared" ref="G7" si="0">D7+E7*F7</f>
        <v>3</v>
      </c>
      <c r="H7" s="7">
        <f>C7*G7</f>
        <v>3000</v>
      </c>
      <c r="J7" s="5" t="s">
        <v>33</v>
      </c>
      <c r="K7" s="5" t="s">
        <v>21</v>
      </c>
      <c r="L7" s="5" t="s">
        <v>19</v>
      </c>
      <c r="M7" s="5" t="s">
        <v>20</v>
      </c>
      <c r="N7" s="5" t="s">
        <v>25</v>
      </c>
      <c r="P7" s="41" t="s">
        <v>107</v>
      </c>
      <c r="Q7" s="42" t="s">
        <v>108</v>
      </c>
      <c r="R7" s="42" t="s">
        <v>109</v>
      </c>
      <c r="S7" s="42" t="s">
        <v>110</v>
      </c>
      <c r="T7" s="42" t="s">
        <v>111</v>
      </c>
    </row>
    <row r="8" spans="2:20" x14ac:dyDescent="0.4">
      <c r="J8" s="5" t="s">
        <v>22</v>
      </c>
      <c r="K8" s="5">
        <f>H5*2+H5*L25</f>
        <v>130</v>
      </c>
      <c r="L8" s="5">
        <f>H6*2+H6*L26</f>
        <v>182</v>
      </c>
      <c r="M8" s="5">
        <f>H7*2</f>
        <v>6000</v>
      </c>
      <c r="N8" s="5">
        <v>1</v>
      </c>
      <c r="P8" s="44" t="s">
        <v>112</v>
      </c>
      <c r="Q8" s="44">
        <v>1</v>
      </c>
      <c r="R8" s="45">
        <v>0.1</v>
      </c>
      <c r="S8" s="44">
        <f>200*Q8</f>
        <v>200</v>
      </c>
      <c r="T8" s="44">
        <v>0.15</v>
      </c>
    </row>
    <row r="9" spans="2:20" x14ac:dyDescent="0.4">
      <c r="B9" s="5" t="s">
        <v>9</v>
      </c>
      <c r="C9" s="5" t="s">
        <v>10</v>
      </c>
      <c r="D9" s="5" t="s">
        <v>3</v>
      </c>
      <c r="E9" s="5" t="s">
        <v>11</v>
      </c>
      <c r="F9" s="5" t="s">
        <v>18</v>
      </c>
      <c r="J9" s="5" t="s">
        <v>9</v>
      </c>
      <c r="K9" s="5">
        <f>F10</f>
        <v>30</v>
      </c>
      <c r="L9" s="5">
        <f>F11</f>
        <v>15</v>
      </c>
      <c r="M9" s="5">
        <f>F12</f>
        <v>600</v>
      </c>
      <c r="N9" s="5">
        <v>1</v>
      </c>
      <c r="Q9" s="41" t="s">
        <v>113</v>
      </c>
      <c r="R9" s="41" t="s">
        <v>146</v>
      </c>
      <c r="S9" s="42" t="s">
        <v>160</v>
      </c>
    </row>
    <row r="10" spans="2:20" x14ac:dyDescent="0.4">
      <c r="B10" s="5" t="s">
        <v>12</v>
      </c>
      <c r="C10" s="5">
        <v>20</v>
      </c>
      <c r="D10" s="6">
        <f>J5*1.5</f>
        <v>1.5</v>
      </c>
      <c r="E10" s="7">
        <f>D10*M5*N5</f>
        <v>1.5</v>
      </c>
      <c r="F10" s="7">
        <f>C10*E10</f>
        <v>30</v>
      </c>
      <c r="J10" s="5" t="s">
        <v>23</v>
      </c>
      <c r="K10" s="5">
        <f>F15</f>
        <v>50</v>
      </c>
      <c r="L10" s="5">
        <f>F16</f>
        <v>5</v>
      </c>
      <c r="M10" s="5">
        <f>F17</f>
        <v>300</v>
      </c>
      <c r="N10" s="5">
        <v>0.5</v>
      </c>
      <c r="Q10" s="44" t="s">
        <v>115</v>
      </c>
      <c r="R10" s="66" t="s">
        <v>147</v>
      </c>
      <c r="S10" s="44">
        <f>S8+S8*N22*T8</f>
        <v>230</v>
      </c>
    </row>
    <row r="11" spans="2:20" x14ac:dyDescent="0.4">
      <c r="B11" s="5" t="s">
        <v>1</v>
      </c>
      <c r="C11" s="5">
        <v>10</v>
      </c>
      <c r="D11" s="6">
        <f>J5*1.5</f>
        <v>1.5</v>
      </c>
      <c r="E11" s="7">
        <f>D11*M5*N5</f>
        <v>1.5</v>
      </c>
      <c r="F11" s="7">
        <f>C11*E11</f>
        <v>15</v>
      </c>
      <c r="J11" s="5" t="s">
        <v>24</v>
      </c>
      <c r="K11" s="5">
        <f>F20</f>
        <v>75</v>
      </c>
      <c r="L11" s="5">
        <f>F21</f>
        <v>60</v>
      </c>
      <c r="M11" s="5">
        <f>F22</f>
        <v>2000</v>
      </c>
      <c r="N11" s="5">
        <v>0.7</v>
      </c>
      <c r="P11" s="41" t="s">
        <v>107</v>
      </c>
      <c r="Q11" s="42" t="s">
        <v>108</v>
      </c>
      <c r="R11" s="42" t="s">
        <v>118</v>
      </c>
      <c r="S11" s="42" t="s">
        <v>117</v>
      </c>
      <c r="T11" s="42" t="s">
        <v>111</v>
      </c>
    </row>
    <row r="12" spans="2:20" x14ac:dyDescent="0.4">
      <c r="B12" s="5" t="s">
        <v>13</v>
      </c>
      <c r="C12" s="5">
        <v>300</v>
      </c>
      <c r="D12" s="6">
        <f>J5*2</f>
        <v>2</v>
      </c>
      <c r="E12" s="7">
        <f>D12*M5*N5</f>
        <v>2</v>
      </c>
      <c r="F12" s="7">
        <f>C12*E12</f>
        <v>600</v>
      </c>
      <c r="P12" s="46" t="s">
        <v>116</v>
      </c>
      <c r="Q12" s="46">
        <v>1</v>
      </c>
      <c r="R12" s="47">
        <v>1</v>
      </c>
      <c r="S12" s="47">
        <v>2</v>
      </c>
      <c r="T12" s="46">
        <v>0.1</v>
      </c>
    </row>
    <row r="13" spans="2:20" x14ac:dyDescent="0.4">
      <c r="Q13" s="41" t="s">
        <v>144</v>
      </c>
    </row>
    <row r="14" spans="2:20" x14ac:dyDescent="0.4">
      <c r="B14" s="5" t="s">
        <v>14</v>
      </c>
      <c r="C14" s="5" t="s">
        <v>10</v>
      </c>
      <c r="D14" s="5" t="s">
        <v>3</v>
      </c>
      <c r="E14" s="5" t="s">
        <v>11</v>
      </c>
      <c r="F14" s="5" t="s">
        <v>18</v>
      </c>
      <c r="M14" s="34" t="s">
        <v>40</v>
      </c>
      <c r="N14" s="35"/>
      <c r="Q14" s="46" t="s">
        <v>145</v>
      </c>
    </row>
    <row r="15" spans="2:20" ht="18" thickBot="1" x14ac:dyDescent="0.45">
      <c r="B15" s="5" t="s">
        <v>12</v>
      </c>
      <c r="C15" s="5">
        <v>25</v>
      </c>
      <c r="D15" s="6">
        <f>J5*2</f>
        <v>2</v>
      </c>
      <c r="E15" s="7">
        <f>D15*M5*N5</f>
        <v>2</v>
      </c>
      <c r="F15" s="7">
        <f>C15*E15</f>
        <v>50</v>
      </c>
      <c r="J15" t="s">
        <v>27</v>
      </c>
      <c r="K15" t="s">
        <v>28</v>
      </c>
      <c r="L15" t="s">
        <v>41</v>
      </c>
      <c r="M15" t="s">
        <v>39</v>
      </c>
      <c r="N15" t="s">
        <v>29</v>
      </c>
      <c r="P15" s="41" t="s">
        <v>107</v>
      </c>
      <c r="Q15" s="42" t="s">
        <v>108</v>
      </c>
      <c r="R15" s="42" t="s">
        <v>119</v>
      </c>
      <c r="S15" s="42" t="s">
        <v>110</v>
      </c>
      <c r="T15" s="42" t="s">
        <v>111</v>
      </c>
    </row>
    <row r="16" spans="2:20" x14ac:dyDescent="0.4">
      <c r="B16" s="5" t="s">
        <v>1</v>
      </c>
      <c r="C16" s="5">
        <v>5</v>
      </c>
      <c r="D16" s="6">
        <f>J5*1</f>
        <v>1</v>
      </c>
      <c r="E16" s="7">
        <f>D16*M5*N5</f>
        <v>1</v>
      </c>
      <c r="F16" s="7">
        <f>C16*E16</f>
        <v>5</v>
      </c>
      <c r="J16" s="9" t="s">
        <v>9</v>
      </c>
      <c r="K16" s="10">
        <f>ROUND(K8-K8*((POWER(2,L9/K8)-1)/POWER(2,L9/K8)),2)</f>
        <v>120.01</v>
      </c>
      <c r="L16" s="10">
        <f>ROUND(K9-K9*((POWER(2,L8/K9)-1)/POWER(2,L8/K9)),2)</f>
        <v>0.45</v>
      </c>
      <c r="M16" s="16">
        <f t="shared" ref="M16:M18" si="1">ROUND((M9/K16),0)</f>
        <v>5</v>
      </c>
      <c r="N16" s="17">
        <f>ROUND(M8/L16,0)</f>
        <v>13333</v>
      </c>
      <c r="P16" s="48" t="s">
        <v>97</v>
      </c>
      <c r="Q16" s="48">
        <v>1</v>
      </c>
      <c r="R16" s="48" t="s">
        <v>120</v>
      </c>
      <c r="S16" s="48">
        <f>300*Q16</f>
        <v>300</v>
      </c>
      <c r="T16" s="48">
        <v>0.2</v>
      </c>
    </row>
    <row r="17" spans="2:18" x14ac:dyDescent="0.4">
      <c r="B17" s="5" t="s">
        <v>13</v>
      </c>
      <c r="C17" s="5">
        <v>200</v>
      </c>
      <c r="D17" s="6">
        <f>J5*1.5</f>
        <v>1.5</v>
      </c>
      <c r="E17" s="7">
        <f>D17*M5*N5</f>
        <v>1.5</v>
      </c>
      <c r="F17" s="7">
        <f>C17*E17</f>
        <v>300</v>
      </c>
      <c r="J17" s="11" t="s">
        <v>23</v>
      </c>
      <c r="K17" s="5">
        <f>ROUND(K8-K8*((POWER(2,L10/K8)-1)/POWER(2,L10/K8)),2)</f>
        <v>126.58</v>
      </c>
      <c r="L17" s="5">
        <f>ROUND(K10-K10*((POWER(2,L8/K10)-1)/POWER(2,L8/K10)),2)</f>
        <v>4.01</v>
      </c>
      <c r="M17" s="18">
        <f t="shared" si="1"/>
        <v>2</v>
      </c>
      <c r="N17" s="19">
        <f>ROUND((M8/L17),0)</f>
        <v>1496</v>
      </c>
      <c r="Q17" s="41" t="s">
        <v>113</v>
      </c>
      <c r="R17" s="41" t="s">
        <v>161</v>
      </c>
    </row>
    <row r="18" spans="2:18" ht="18" thickBot="1" x14ac:dyDescent="0.45">
      <c r="J18" s="12" t="s">
        <v>24</v>
      </c>
      <c r="K18" s="13">
        <f>ROUND(K8-K8*((POWER(2,L11/K8)-1)/POWER(2,L11/K8)),2)</f>
        <v>94.41</v>
      </c>
      <c r="L18" s="13">
        <f>ROUND(K11-K11*((POWER(2,L8/K11)-1)/POWER(2,L8/K11)),2)</f>
        <v>13.95</v>
      </c>
      <c r="M18" s="20">
        <f t="shared" si="1"/>
        <v>21</v>
      </c>
      <c r="N18" s="21">
        <f>ROUND(M8/L18,0)</f>
        <v>430</v>
      </c>
      <c r="Q18" s="48" t="s">
        <v>115</v>
      </c>
      <c r="R18" s="48">
        <f>S16+S16*N22*T16</f>
        <v>360</v>
      </c>
    </row>
    <row r="19" spans="2:18" x14ac:dyDescent="0.4">
      <c r="B19" s="5" t="s">
        <v>16</v>
      </c>
      <c r="C19" s="5" t="s">
        <v>10</v>
      </c>
      <c r="D19" s="5" t="s">
        <v>3</v>
      </c>
      <c r="E19" s="5" t="s">
        <v>11</v>
      </c>
      <c r="F19" s="5" t="s">
        <v>18</v>
      </c>
    </row>
    <row r="20" spans="2:18" ht="18" thickBot="1" x14ac:dyDescent="0.45">
      <c r="B20" s="5" t="s">
        <v>15</v>
      </c>
      <c r="C20" s="5">
        <v>50</v>
      </c>
      <c r="D20" s="6">
        <f>J5*1.5</f>
        <v>1.5</v>
      </c>
      <c r="E20" s="7">
        <f>D20*M5*N5</f>
        <v>1.5</v>
      </c>
      <c r="F20" s="7">
        <f>C20*E20</f>
        <v>75</v>
      </c>
    </row>
    <row r="21" spans="2:18" x14ac:dyDescent="0.4">
      <c r="B21" s="5" t="s">
        <v>1</v>
      </c>
      <c r="C21" s="5">
        <v>40</v>
      </c>
      <c r="D21" s="6">
        <f>J5*1.5</f>
        <v>1.5</v>
      </c>
      <c r="E21" s="7">
        <f>D21*M5*N5</f>
        <v>1.5</v>
      </c>
      <c r="F21" s="7">
        <f>C21*E21</f>
        <v>60</v>
      </c>
      <c r="J21" s="5" t="s">
        <v>49</v>
      </c>
      <c r="K21" s="5" t="s">
        <v>51</v>
      </c>
      <c r="L21" s="5" t="s">
        <v>44</v>
      </c>
      <c r="N21" s="29" t="s">
        <v>56</v>
      </c>
    </row>
    <row r="22" spans="2:18" ht="18" thickBot="1" x14ac:dyDescent="0.45">
      <c r="B22" s="5" t="s">
        <v>13</v>
      </c>
      <c r="C22" s="5">
        <v>1000</v>
      </c>
      <c r="D22" s="6">
        <f>J5*2</f>
        <v>2</v>
      </c>
      <c r="E22" s="7">
        <f>D22*M5*N5</f>
        <v>2</v>
      </c>
      <c r="F22" s="7">
        <f>C22*E22</f>
        <v>2000</v>
      </c>
      <c r="J22" s="5">
        <f>10*표7[스테이지]*표7[+10 STAGE]*표7[100s]</f>
        <v>10</v>
      </c>
      <c r="K22" s="5">
        <f>J22*30</f>
        <v>300</v>
      </c>
      <c r="L22" s="5">
        <f>90*J22+K22</f>
        <v>1200</v>
      </c>
      <c r="N22" s="30">
        <v>1</v>
      </c>
      <c r="O22" s="22"/>
    </row>
    <row r="24" spans="2:18" x14ac:dyDescent="0.4">
      <c r="J24" s="5" t="s">
        <v>45</v>
      </c>
      <c r="K24" s="5" t="s">
        <v>48</v>
      </c>
      <c r="L24" s="5" t="s">
        <v>50</v>
      </c>
      <c r="M24" s="5" t="s">
        <v>54</v>
      </c>
      <c r="N24" s="5" t="s">
        <v>55</v>
      </c>
    </row>
    <row r="25" spans="2:18" x14ac:dyDescent="0.4">
      <c r="J25" s="5" t="s">
        <v>46</v>
      </c>
      <c r="K25" s="5">
        <v>1</v>
      </c>
      <c r="L25" s="28">
        <f>(K25*5+N22)/10</f>
        <v>0.6</v>
      </c>
      <c r="M25" s="5">
        <f>100*표2[[#This Row],[레벨]]</f>
        <v>100</v>
      </c>
      <c r="N25" s="5">
        <f>100*K25*M25</f>
        <v>10000</v>
      </c>
    </row>
    <row r="26" spans="2:18" x14ac:dyDescent="0.4">
      <c r="J26" s="5" t="s">
        <v>47</v>
      </c>
      <c r="K26" s="5">
        <v>1</v>
      </c>
      <c r="L26" s="28">
        <f>(K26*5+N22)/10</f>
        <v>0.6</v>
      </c>
      <c r="M26" s="5">
        <f>100*표2[[#This Row],[레벨]]</f>
        <v>100</v>
      </c>
      <c r="N26" s="5">
        <f t="shared" ref="N26:N28" si="2">100*K26*M26</f>
        <v>10000</v>
      </c>
    </row>
    <row r="27" spans="2:18" x14ac:dyDescent="0.4">
      <c r="J27" s="5" t="s">
        <v>52</v>
      </c>
      <c r="K27" s="5">
        <v>1</v>
      </c>
      <c r="L27" s="28">
        <f>K27/100</f>
        <v>0.01</v>
      </c>
      <c r="M27" s="5">
        <f>1000*표2[[#This Row],[레벨]]</f>
        <v>1000</v>
      </c>
      <c r="N27" s="5">
        <f t="shared" si="2"/>
        <v>100000</v>
      </c>
    </row>
    <row r="28" spans="2:18" x14ac:dyDescent="0.4">
      <c r="J28" s="5" t="s">
        <v>53</v>
      </c>
      <c r="K28" s="5">
        <v>1</v>
      </c>
      <c r="L28" s="28">
        <f>(K28 + N22)/10</f>
        <v>0.2</v>
      </c>
      <c r="M28" s="5">
        <f>1000*표2[[#This Row],[레벨]]</f>
        <v>1000</v>
      </c>
      <c r="N28" s="5">
        <f t="shared" si="2"/>
        <v>100000</v>
      </c>
    </row>
  </sheetData>
  <mergeCells count="3">
    <mergeCell ref="B2:C2"/>
    <mergeCell ref="K3:L3"/>
    <mergeCell ref="M14:N14"/>
  </mergeCells>
  <phoneticPr fontId="5" type="noConversion"/>
  <pageMargins left="0.7" right="0.7" top="0.75" bottom="0.75" header="0.3" footer="0.3"/>
  <pageSetup paperSize="9"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2"/>
  <sheetViews>
    <sheetView zoomScaleNormal="100" workbookViewId="0">
      <selection activeCell="E17" sqref="E17"/>
    </sheetView>
  </sheetViews>
  <sheetFormatPr defaultRowHeight="17.399999999999999" x14ac:dyDescent="0.4"/>
  <cols>
    <col min="2" max="3" width="10.59765625" bestFit="1" customWidth="1"/>
    <col min="4" max="4" width="16.5" bestFit="1" customWidth="1"/>
    <col min="5" max="5" width="21.59765625" bestFit="1" customWidth="1"/>
    <col min="7" max="7" width="13" bestFit="1" customWidth="1"/>
    <col min="8" max="8" width="10.59765625" bestFit="1" customWidth="1"/>
    <col min="9" max="9" width="41.5" customWidth="1"/>
    <col min="11" max="11" width="7.69921875" customWidth="1"/>
    <col min="12" max="12" width="7.5" customWidth="1"/>
    <col min="13" max="13" width="31.8984375" bestFit="1" customWidth="1"/>
    <col min="14" max="14" width="13.3984375" customWidth="1"/>
    <col min="15" max="15" width="12.19921875" bestFit="1" customWidth="1"/>
    <col min="17" max="17" width="13" bestFit="1" customWidth="1"/>
    <col min="18" max="18" width="67.5" bestFit="1" customWidth="1"/>
    <col min="19" max="19" width="19" bestFit="1" customWidth="1"/>
  </cols>
  <sheetData>
    <row r="2" spans="2:9" ht="18" thickBot="1" x14ac:dyDescent="0.45">
      <c r="B2" s="38" t="s">
        <v>92</v>
      </c>
      <c r="C2" s="38"/>
    </row>
    <row r="3" spans="2:9" ht="18" thickBot="1" x14ac:dyDescent="0.45">
      <c r="B3" s="36" t="s">
        <v>91</v>
      </c>
      <c r="C3" s="37"/>
      <c r="G3" s="23" t="s">
        <v>90</v>
      </c>
      <c r="H3" s="25" t="s">
        <v>94</v>
      </c>
      <c r="I3" s="23" t="s">
        <v>89</v>
      </c>
    </row>
    <row r="4" spans="2:9" ht="18" thickBot="1" x14ac:dyDescent="0.45">
      <c r="B4" s="13" t="s">
        <v>88</v>
      </c>
      <c r="C4" s="13" t="s">
        <v>63</v>
      </c>
      <c r="D4" s="24" t="s">
        <v>87</v>
      </c>
      <c r="E4" s="24" t="s">
        <v>93</v>
      </c>
      <c r="G4" s="23" t="s">
        <v>86</v>
      </c>
      <c r="H4" s="27" t="s">
        <v>95</v>
      </c>
      <c r="I4" s="23" t="s">
        <v>85</v>
      </c>
    </row>
    <row r="5" spans="2:9" ht="18" thickBot="1" x14ac:dyDescent="0.45">
      <c r="B5" s="5" t="s">
        <v>61</v>
      </c>
      <c r="C5" s="26">
        <v>50</v>
      </c>
      <c r="D5" s="5" t="s">
        <v>83</v>
      </c>
      <c r="E5" s="5" t="s">
        <v>84</v>
      </c>
    </row>
    <row r="6" spans="2:9" ht="18" thickBot="1" x14ac:dyDescent="0.45">
      <c r="B6" s="5" t="s">
        <v>60</v>
      </c>
      <c r="C6" s="26">
        <v>70</v>
      </c>
      <c r="D6" s="5" t="s">
        <v>83</v>
      </c>
      <c r="E6" s="5" t="s">
        <v>82</v>
      </c>
      <c r="G6" s="23" t="s">
        <v>81</v>
      </c>
    </row>
    <row r="7" spans="2:9" x14ac:dyDescent="0.4">
      <c r="B7" s="5" t="s">
        <v>58</v>
      </c>
      <c r="C7" s="26">
        <v>1000</v>
      </c>
      <c r="D7" s="5" t="s">
        <v>80</v>
      </c>
      <c r="E7" s="5"/>
      <c r="G7" s="5" t="s">
        <v>64</v>
      </c>
      <c r="H7" s="5" t="s">
        <v>63</v>
      </c>
      <c r="I7" s="5" t="s">
        <v>62</v>
      </c>
    </row>
    <row r="8" spans="2:9" x14ac:dyDescent="0.4">
      <c r="B8" s="5" t="s">
        <v>79</v>
      </c>
      <c r="C8" s="26" t="s">
        <v>78</v>
      </c>
      <c r="D8" s="5"/>
      <c r="E8" s="5"/>
      <c r="G8" s="5" t="s">
        <v>61</v>
      </c>
      <c r="H8" s="5">
        <v>20</v>
      </c>
      <c r="I8" s="5" t="s">
        <v>59</v>
      </c>
    </row>
    <row r="9" spans="2:9" x14ac:dyDescent="0.4">
      <c r="B9" s="5" t="s">
        <v>70</v>
      </c>
      <c r="C9" s="26" t="s">
        <v>77</v>
      </c>
      <c r="D9" s="5"/>
      <c r="E9" s="5"/>
      <c r="G9" s="5" t="s">
        <v>60</v>
      </c>
      <c r="H9" s="5">
        <v>10</v>
      </c>
      <c r="I9" s="5" t="s">
        <v>59</v>
      </c>
    </row>
    <row r="10" spans="2:9" x14ac:dyDescent="0.4">
      <c r="B10" s="5" t="s">
        <v>67</v>
      </c>
      <c r="C10" s="26" t="s">
        <v>76</v>
      </c>
      <c r="D10" s="5" t="s">
        <v>75</v>
      </c>
      <c r="E10" s="5"/>
      <c r="G10" s="5" t="s">
        <v>58</v>
      </c>
      <c r="H10" s="5">
        <v>300</v>
      </c>
      <c r="I10" s="5" t="s">
        <v>57</v>
      </c>
    </row>
    <row r="11" spans="2:9" ht="18" thickBot="1" x14ac:dyDescent="0.45"/>
    <row r="12" spans="2:9" ht="18" thickBot="1" x14ac:dyDescent="0.45">
      <c r="G12" s="23" t="s">
        <v>73</v>
      </c>
    </row>
    <row r="13" spans="2:9" x14ac:dyDescent="0.4">
      <c r="G13" s="5" t="s">
        <v>64</v>
      </c>
      <c r="H13" s="5" t="s">
        <v>63</v>
      </c>
      <c r="I13" s="5" t="s">
        <v>62</v>
      </c>
    </row>
    <row r="14" spans="2:9" x14ac:dyDescent="0.4">
      <c r="G14" s="5" t="s">
        <v>61</v>
      </c>
      <c r="H14" s="5">
        <v>25</v>
      </c>
      <c r="I14" s="5" t="s">
        <v>57</v>
      </c>
    </row>
    <row r="15" spans="2:9" x14ac:dyDescent="0.4">
      <c r="G15" s="5" t="s">
        <v>60</v>
      </c>
      <c r="H15" s="5">
        <v>5</v>
      </c>
      <c r="I15" s="5" t="s">
        <v>68</v>
      </c>
    </row>
    <row r="16" spans="2:9" x14ac:dyDescent="0.4">
      <c r="G16" s="5" t="s">
        <v>58</v>
      </c>
      <c r="H16" s="5">
        <v>200</v>
      </c>
      <c r="I16" s="5" t="s">
        <v>59</v>
      </c>
    </row>
    <row r="17" spans="7:9" ht="18" thickBot="1" x14ac:dyDescent="0.45"/>
    <row r="18" spans="7:9" ht="18" thickBot="1" x14ac:dyDescent="0.45">
      <c r="G18" s="23" t="s">
        <v>65</v>
      </c>
    </row>
    <row r="19" spans="7:9" x14ac:dyDescent="0.4">
      <c r="G19" s="5" t="s">
        <v>64</v>
      </c>
      <c r="H19" s="5" t="s">
        <v>63</v>
      </c>
      <c r="I19" s="5" t="s">
        <v>62</v>
      </c>
    </row>
    <row r="20" spans="7:9" x14ac:dyDescent="0.4">
      <c r="G20" s="5" t="s">
        <v>61</v>
      </c>
      <c r="H20" s="5">
        <v>50</v>
      </c>
      <c r="I20" s="5" t="s">
        <v>59</v>
      </c>
    </row>
    <row r="21" spans="7:9" x14ac:dyDescent="0.4">
      <c r="G21" s="5" t="s">
        <v>60</v>
      </c>
      <c r="H21" s="5">
        <v>40</v>
      </c>
      <c r="I21" s="5" t="s">
        <v>59</v>
      </c>
    </row>
    <row r="22" spans="7:9" x14ac:dyDescent="0.4">
      <c r="G22" s="5" t="s">
        <v>58</v>
      </c>
      <c r="H22" s="5">
        <v>1000</v>
      </c>
      <c r="I22" s="5" t="s">
        <v>57</v>
      </c>
    </row>
  </sheetData>
  <mergeCells count="2">
    <mergeCell ref="B3:C3"/>
    <mergeCell ref="B2:C2"/>
  </mergeCells>
  <phoneticPr fontId="5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2"/>
  <sheetViews>
    <sheetView tabSelected="1" topLeftCell="K1" workbookViewId="0">
      <selection activeCell="L7" sqref="L7"/>
    </sheetView>
  </sheetViews>
  <sheetFormatPr defaultRowHeight="17.399999999999999" x14ac:dyDescent="0.4"/>
  <cols>
    <col min="2" max="2" width="15" bestFit="1" customWidth="1"/>
    <col min="3" max="3" width="19.09765625" bestFit="1" customWidth="1"/>
    <col min="4" max="4" width="23.296875" bestFit="1" customWidth="1"/>
    <col min="5" max="5" width="13.69921875" bestFit="1" customWidth="1"/>
    <col min="7" max="7" width="11.69921875" bestFit="1" customWidth="1"/>
    <col min="8" max="8" width="9" bestFit="1" customWidth="1"/>
    <col min="9" max="9" width="13.69921875" bestFit="1" customWidth="1"/>
    <col min="10" max="10" width="31.8984375" bestFit="1" customWidth="1"/>
    <col min="11" max="11" width="14.3984375" bestFit="1" customWidth="1"/>
    <col min="12" max="12" width="12.3984375" bestFit="1" customWidth="1"/>
    <col min="13" max="14" width="13" bestFit="1" customWidth="1"/>
    <col min="15" max="15" width="67.5" bestFit="1" customWidth="1"/>
    <col min="16" max="16" width="21.5" bestFit="1" customWidth="1"/>
  </cols>
  <sheetData>
    <row r="1" spans="2:17" ht="18" thickBot="1" x14ac:dyDescent="0.45"/>
    <row r="2" spans="2:17" ht="18" thickBot="1" x14ac:dyDescent="0.45">
      <c r="B2" s="52" t="s">
        <v>74</v>
      </c>
      <c r="C2" s="53"/>
      <c r="D2" s="54" t="s">
        <v>162</v>
      </c>
      <c r="E2" s="55" t="s">
        <v>163</v>
      </c>
      <c r="H2" s="57" t="s">
        <v>121</v>
      </c>
      <c r="I2" s="58"/>
      <c r="J2" s="58"/>
      <c r="K2" s="58"/>
      <c r="L2" s="59"/>
      <c r="N2" s="51" t="s">
        <v>157</v>
      </c>
      <c r="O2" s="51"/>
      <c r="P2" s="51"/>
      <c r="Q2" s="51"/>
    </row>
    <row r="3" spans="2:17" x14ac:dyDescent="0.4">
      <c r="B3" s="11" t="s">
        <v>72</v>
      </c>
      <c r="C3" s="26" t="s">
        <v>66</v>
      </c>
      <c r="D3" s="5" t="s">
        <v>165</v>
      </c>
      <c r="E3" s="39" t="s">
        <v>164</v>
      </c>
      <c r="H3" s="5" t="s">
        <v>130</v>
      </c>
      <c r="I3" s="5" t="s">
        <v>131</v>
      </c>
      <c r="J3" s="5" t="s">
        <v>132</v>
      </c>
      <c r="K3" s="5" t="s">
        <v>133</v>
      </c>
      <c r="L3" s="5" t="s">
        <v>143</v>
      </c>
      <c r="N3" t="s">
        <v>98</v>
      </c>
      <c r="O3" s="49" t="s">
        <v>99</v>
      </c>
      <c r="P3" t="s">
        <v>188</v>
      </c>
      <c r="Q3">
        <f>(100*1+100*1*0.2)*4</f>
        <v>480</v>
      </c>
    </row>
    <row r="4" spans="2:17" x14ac:dyDescent="0.4">
      <c r="B4" s="11" t="s">
        <v>71</v>
      </c>
      <c r="C4" s="26" t="s">
        <v>66</v>
      </c>
      <c r="D4" s="5" t="s">
        <v>166</v>
      </c>
      <c r="E4" s="39" t="s">
        <v>167</v>
      </c>
      <c r="H4" s="5" t="s">
        <v>122</v>
      </c>
      <c r="I4" s="5" t="s">
        <v>134</v>
      </c>
      <c r="J4" s="5" t="s">
        <v>148</v>
      </c>
      <c r="K4" s="60" t="s">
        <v>149</v>
      </c>
      <c r="L4" s="5" t="s">
        <v>142</v>
      </c>
      <c r="N4" t="s">
        <v>158</v>
      </c>
      <c r="O4" s="50" t="s">
        <v>159</v>
      </c>
      <c r="P4" t="s">
        <v>189</v>
      </c>
      <c r="Q4">
        <f>200*1+200*1*0.15</f>
        <v>230</v>
      </c>
    </row>
    <row r="5" spans="2:17" x14ac:dyDescent="0.4">
      <c r="B5" s="11" t="s">
        <v>70</v>
      </c>
      <c r="C5" s="26" t="s">
        <v>69</v>
      </c>
      <c r="D5" s="5" t="s">
        <v>170</v>
      </c>
      <c r="E5" s="39" t="s">
        <v>168</v>
      </c>
      <c r="H5" s="5" t="s">
        <v>123</v>
      </c>
      <c r="I5" s="5" t="s">
        <v>135</v>
      </c>
      <c r="J5" s="60">
        <v>0.2</v>
      </c>
      <c r="K5" s="5" t="s">
        <v>150</v>
      </c>
      <c r="L5" s="5">
        <v>1.5</v>
      </c>
      <c r="N5" t="s">
        <v>96</v>
      </c>
      <c r="O5" s="50" t="s">
        <v>184</v>
      </c>
      <c r="P5" t="s">
        <v>187</v>
      </c>
      <c r="Q5">
        <f>100+100*(1*1+1*1*0.1)</f>
        <v>210</v>
      </c>
    </row>
    <row r="6" spans="2:17" ht="18" thickBot="1" x14ac:dyDescent="0.45">
      <c r="B6" s="12" t="s">
        <v>67</v>
      </c>
      <c r="C6" s="56" t="s">
        <v>66</v>
      </c>
      <c r="D6" s="13" t="s">
        <v>171</v>
      </c>
      <c r="E6" s="40" t="s">
        <v>169</v>
      </c>
      <c r="H6" s="5" t="s">
        <v>124</v>
      </c>
      <c r="I6" s="5" t="s">
        <v>136</v>
      </c>
      <c r="J6" s="60">
        <v>0.3</v>
      </c>
      <c r="K6" s="5" t="s">
        <v>151</v>
      </c>
      <c r="L6" s="5">
        <v>2</v>
      </c>
      <c r="N6" t="s">
        <v>97</v>
      </c>
      <c r="O6" s="50" t="s">
        <v>159</v>
      </c>
      <c r="P6" t="s">
        <v>190</v>
      </c>
      <c r="Q6">
        <f>300*1+300*1*0.2</f>
        <v>360</v>
      </c>
    </row>
    <row r="7" spans="2:17" x14ac:dyDescent="0.4">
      <c r="H7" s="5" t="s">
        <v>125</v>
      </c>
      <c r="I7" s="5" t="s">
        <v>137</v>
      </c>
      <c r="J7" s="60">
        <v>0.4</v>
      </c>
      <c r="K7" s="5" t="s">
        <v>152</v>
      </c>
      <c r="L7" s="5">
        <v>2.5</v>
      </c>
    </row>
    <row r="8" spans="2:17" ht="18" thickBot="1" x14ac:dyDescent="0.45">
      <c r="B8" t="s">
        <v>181</v>
      </c>
      <c r="H8" s="5" t="s">
        <v>126</v>
      </c>
      <c r="I8" s="5" t="s">
        <v>138</v>
      </c>
      <c r="J8" s="60" t="s">
        <v>185</v>
      </c>
      <c r="K8" s="5" t="s">
        <v>153</v>
      </c>
      <c r="L8" s="5">
        <v>3</v>
      </c>
    </row>
    <row r="9" spans="2:17" x14ac:dyDescent="0.4">
      <c r="B9" s="61" t="s">
        <v>173</v>
      </c>
      <c r="C9" s="10">
        <v>1000</v>
      </c>
      <c r="D9" s="64" t="s">
        <v>182</v>
      </c>
      <c r="E9" s="52" t="s">
        <v>183</v>
      </c>
      <c r="F9" s="65"/>
      <c r="H9" s="5" t="s">
        <v>127</v>
      </c>
      <c r="I9" s="5" t="s">
        <v>139</v>
      </c>
      <c r="J9" s="60">
        <v>0.6</v>
      </c>
      <c r="K9" s="5" t="s">
        <v>154</v>
      </c>
      <c r="L9" s="5">
        <v>3.5</v>
      </c>
    </row>
    <row r="10" spans="2:17" x14ac:dyDescent="0.4">
      <c r="B10" s="62" t="s">
        <v>172</v>
      </c>
      <c r="C10" s="5" t="s">
        <v>178</v>
      </c>
      <c r="D10" s="11">
        <v>20000</v>
      </c>
      <c r="E10" s="11">
        <v>200000</v>
      </c>
      <c r="F10" s="39" t="s">
        <v>179</v>
      </c>
      <c r="H10" s="5" t="s">
        <v>128</v>
      </c>
      <c r="I10" s="5" t="s">
        <v>140</v>
      </c>
      <c r="J10" s="60">
        <v>0.7</v>
      </c>
      <c r="K10" s="5" t="s">
        <v>155</v>
      </c>
      <c r="L10" s="5">
        <v>4</v>
      </c>
    </row>
    <row r="11" spans="2:17" x14ac:dyDescent="0.4">
      <c r="B11" s="62" t="s">
        <v>174</v>
      </c>
      <c r="C11" s="5" t="s">
        <v>175</v>
      </c>
      <c r="D11" s="11">
        <v>40000</v>
      </c>
      <c r="E11" s="11">
        <f>200000*18</f>
        <v>3600000</v>
      </c>
      <c r="F11" s="39" t="s">
        <v>180</v>
      </c>
      <c r="H11" s="5" t="s">
        <v>129</v>
      </c>
      <c r="I11" s="5" t="s">
        <v>141</v>
      </c>
      <c r="J11" s="60" t="s">
        <v>186</v>
      </c>
      <c r="K11" s="5" t="s">
        <v>156</v>
      </c>
      <c r="L11" s="5">
        <v>5</v>
      </c>
    </row>
    <row r="12" spans="2:17" ht="18" thickBot="1" x14ac:dyDescent="0.45">
      <c r="B12" s="63" t="s">
        <v>176</v>
      </c>
      <c r="C12" s="13" t="s">
        <v>177</v>
      </c>
      <c r="D12" s="12"/>
      <c r="E12" s="12">
        <f>E11*5</f>
        <v>18000000</v>
      </c>
      <c r="F12" s="40"/>
    </row>
  </sheetData>
  <mergeCells count="4">
    <mergeCell ref="B2:C2"/>
    <mergeCell ref="H2:L2"/>
    <mergeCell ref="E9:F9"/>
    <mergeCell ref="N2:Q2"/>
  </mergeCells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데미지 계산기</vt:lpstr>
      <vt:lpstr>캐릭터 스탯</vt:lpstr>
      <vt:lpstr>스킬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이영일</dc:creator>
  <cp:lastModifiedBy>이영일</cp:lastModifiedBy>
  <dcterms:created xsi:type="dcterms:W3CDTF">2017-10-27T04:09:58Z</dcterms:created>
  <dcterms:modified xsi:type="dcterms:W3CDTF">2017-11-09T08:14:51Z</dcterms:modified>
</cp:coreProperties>
</file>